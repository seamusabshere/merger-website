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vsc-my.sharepoint.com/personal/nlm08110_vsc_edu/Documents/Documents/Nicole Mace/School Board Materials/Merger Committee Materials/"/>
    </mc:Choice>
  </mc:AlternateContent>
  <xr:revisionPtr revIDLastSave="2" documentId="11_ACDC866AB8445F2620B7A8D1E50F66A18D50A33A" xr6:coauthVersionLast="47" xr6:coauthVersionMax="47" xr10:uidLastSave="{D54C2D23-A880-484B-AD08-1D64407C44AF}"/>
  <bookViews>
    <workbookView xWindow="-28920" yWindow="-120" windowWidth="29040" windowHeight="15720" tabRatio="500" firstSheet="1" activeTab="1" xr2:uid="{00000000-000D-0000-FFFF-FFFF00000000}"/>
  </bookViews>
  <sheets>
    <sheet name="Read Me" sheetId="1" r:id="rId1"/>
    <sheet name="Data Inventory" sheetId="2" r:id="rId2"/>
    <sheet name="1 Enrollment" sheetId="3" r:id="rId3"/>
    <sheet name="2 Outcomes" sheetId="4" r:id="rId4"/>
    <sheet name="3 Finance" sheetId="5" r:id="rId5"/>
    <sheet name="4 Staffing" sheetId="6" r:id="rId6"/>
    <sheet name="5 Transportation" sheetId="7" r:id="rId7"/>
    <sheet name="6 Facilities" sheetId="8" r:id="rId8"/>
    <sheet name="7 Programs &amp; Supports" sheetId="9" r:id="rId9"/>
    <sheet name="8 Contracts, Debt &amp; Property" sheetId="10" r:id="rId10"/>
    <sheet name="Lists" sheetId="11" state="hidden" r:id="rId11"/>
  </sheets>
  <definedNames>
    <definedName name="_xlnm._FilterDatabase" localSheetId="2" hidden="1">'1 Enrollment'!$A$5:$J$37</definedName>
    <definedName name="_xlnm._FilterDatabase" localSheetId="3" hidden="1">'2 Outcomes'!$A$5:$J$25</definedName>
    <definedName name="_xlnm._FilterDatabase" localSheetId="4" hidden="1">'3 Finance'!$A$5:$J$29</definedName>
    <definedName name="_xlnm._FilterDatabase" localSheetId="5" hidden="1">'4 Staffing'!$A$5:$J$37</definedName>
    <definedName name="_xlnm._FilterDatabase" localSheetId="6" hidden="1">'5 Transportation'!$A$5:$J$12</definedName>
    <definedName name="_xlnm._FilterDatabase" localSheetId="7" hidden="1">'6 Facilities'!$A$5:$Q$25</definedName>
    <definedName name="_xlnm._FilterDatabase" localSheetId="8" hidden="1">'7 Programs &amp; Supports'!$A$5:$L$45</definedName>
    <definedName name="_xlnm._FilterDatabase" localSheetId="9" hidden="1">'8 Contracts, Debt &amp; Property'!$A$5:$L$35</definedName>
    <definedName name="_xlnm.Print_Titles" localSheetId="2">'1 Enrollment'!$5:$5</definedName>
    <definedName name="_xlnm.Print_Titles" localSheetId="3">'2 Outcomes'!$5:$5</definedName>
    <definedName name="_xlnm.Print_Titles" localSheetId="4">'3 Finance'!$5:$5</definedName>
    <definedName name="_xlnm.Print_Titles" localSheetId="5">'4 Staffing'!$5:$5</definedName>
    <definedName name="_xlnm.Print_Titles" localSheetId="6">'5 Transportation'!$5:$5</definedName>
    <definedName name="_xlnm.Print_Titles" localSheetId="7">'6 Facilities'!$5:$5</definedName>
    <definedName name="_xlnm.Print_Titles" localSheetId="8">'7 Programs &amp; Supports'!$5:$5</definedName>
    <definedName name="_xlnm.Print_Titles" localSheetId="9">'8 Contracts, Debt &amp; Property'!$5:$5</definedName>
    <definedName name="_xlnm.Print_Titles" localSheetId="1">'Data Inventory'!$5:$5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5" i="10" l="1"/>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3" i="10"/>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3" i="9"/>
  <c r="I25" i="8"/>
  <c r="A25" i="8"/>
  <c r="I24" i="8"/>
  <c r="A24" i="8"/>
  <c r="I23" i="8"/>
  <c r="A23" i="8"/>
  <c r="I22" i="8"/>
  <c r="A22" i="8"/>
  <c r="I21" i="8"/>
  <c r="A21" i="8"/>
  <c r="I20" i="8"/>
  <c r="A20" i="8"/>
  <c r="I19" i="8"/>
  <c r="A19" i="8"/>
  <c r="I18" i="8"/>
  <c r="A18" i="8"/>
  <c r="I17" i="8"/>
  <c r="A17" i="8"/>
  <c r="I16" i="8"/>
  <c r="A16" i="8"/>
  <c r="I15" i="8"/>
  <c r="A15" i="8"/>
  <c r="I14" i="8"/>
  <c r="A14" i="8"/>
  <c r="I13" i="8"/>
  <c r="A13" i="8"/>
  <c r="I12" i="8"/>
  <c r="A12" i="8"/>
  <c r="I11" i="8"/>
  <c r="A11" i="8"/>
  <c r="I10" i="8"/>
  <c r="A10" i="8"/>
  <c r="I9" i="8"/>
  <c r="A9" i="8"/>
  <c r="I8" i="8"/>
  <c r="A8" i="8"/>
  <c r="I7" i="8"/>
  <c r="A7" i="8"/>
  <c r="I6" i="8"/>
  <c r="A6" i="8"/>
  <c r="A3" i="8"/>
  <c r="A3" i="7"/>
  <c r="F37" i="6"/>
  <c r="A3" i="6"/>
  <c r="A3" i="5"/>
  <c r="A3" i="4"/>
  <c r="F33" i="3"/>
  <c r="F28" i="3"/>
  <c r="A3" i="3"/>
  <c r="H20" i="2"/>
  <c r="H19" i="2"/>
  <c r="H21" i="2" s="1"/>
  <c r="A3" i="2"/>
</calcChain>
</file>

<file path=xl/sharedStrings.xml><?xml version="1.0" encoding="utf-8"?>
<sst xmlns="http://schemas.openxmlformats.org/spreadsheetml/2006/main" count="978" uniqueCount="398">
  <si>
    <t>Burlington - South Burlington - Winooski Merger Study</t>
  </si>
  <si>
    <t>District Data Collection Template  |  DRAFT v0.3  |  Updated October 28, 2026</t>
  </si>
  <si>
    <t>Submission</t>
  </si>
  <si>
    <t>District</t>
  </si>
  <si>
    <t>Prepared by (name, title)</t>
  </si>
  <si>
    <t>Date submitted</t>
  </si>
  <si>
    <t>Purpose</t>
  </si>
  <si>
    <t>How to use it</t>
  </si>
  <si>
    <t>1. Choose your district above. It fills in automatically on every tab.
2. Enter data only in yellow cells. Grey cells calculate automatically.
3. Do not add, delete, rename or reorder rows, columns or tabs. The Facilitator compiles all three districts' files by copying them into a combined workbook, so the layout must stay identical.
4. Use the definitions given. If your data uses a different definition, enter it anyway and explain in Notes and caveats.
5. The Source column is pre-filled with the expected source. Change it if you used a different one, and enter the date you pulled the data.
6. Enter percentages as decimals: 0.42 displays as 42.0%.
7. Leave a cell blank if data is unavailable, and say why in Notes. Do not enter 0 for unknown.
8. Follow AOE small-group suppression rules. Do not report any figure that could identify an individual student or employee.
9. Update the Data Inventory status as you go, then send the completed file to the Facilitator.</t>
  </si>
  <si>
    <t>Tabs</t>
  </si>
  <si>
    <t>Data Inventory: every item from the work plan's data table and its status for your district.
1 Enrollment, 2 Outcomes, 3 Finance, 4 Staffing, 5 Transportation: one row per measure and year.
6 Facilities: one row per building.  7 Programs &amp; Supports: one row per program, partnership or student support.
8 Contracts, Debt &amp; Property: Phase 4 items, one row per agreement, bond or property.</t>
  </si>
  <si>
    <t>Cell legend</t>
  </si>
  <si>
    <t>Enter / paste data</t>
  </si>
  <si>
    <t>Yellow fill, blue text</t>
  </si>
  <si>
    <t>Calculated</t>
  </si>
  <si>
    <t>Grey fill. Do not edit.</t>
  </si>
  <si>
    <t>Example entry</t>
  </si>
  <si>
    <t>Illustrative values only, to show the expected format. Not real district data.</t>
  </si>
  <si>
    <t>Measure</t>
  </si>
  <si>
    <t>Year</t>
  </si>
  <si>
    <t>Value as entered</t>
  </si>
  <si>
    <t>Displays as</t>
  </si>
  <si>
    <t>Source</t>
  </si>
  <si>
    <t>Data as of</t>
  </si>
  <si>
    <t>Notes</t>
  </si>
  <si>
    <t>Students with an IEP</t>
  </si>
  <si>
    <t>FY2026</t>
  </si>
  <si>
    <t>Vermont Education Dashboard</t>
  </si>
  <si>
    <t>11/10/2026</t>
  </si>
  <si>
    <t>From Dec 1 child count</t>
  </si>
  <si>
    <t>Source of this structure</t>
  </si>
  <si>
    <t>Data categories, sources, timing and phases follow the "Data and information needs" table in the amended DRAFT Committee Work Plan. Individual measures within each category are proposals for the committee to accept, revise or drop. The open questions and assumptions log is kept separately by the Facilitator.</t>
  </si>
  <si>
    <t>Data Inventory and Status</t>
  </si>
  <si>
    <t>From the work plan's "Data and information needs" table. Update status as items are submitted.</t>
  </si>
  <si>
    <t>ID</t>
  </si>
  <si>
    <t>Information</t>
  </si>
  <si>
    <t>Available</t>
  </si>
  <si>
    <t>Needed for</t>
  </si>
  <si>
    <t>Who gathers</t>
  </si>
  <si>
    <t>Template tab</t>
  </si>
  <si>
    <t>Status</t>
  </si>
  <si>
    <t>Target date</t>
  </si>
  <si>
    <t>D01</t>
  </si>
  <si>
    <t>Enrollment, demographics, assessment, attendance, course enrollment</t>
  </si>
  <si>
    <t>Now</t>
  </si>
  <si>
    <t>Phase 1</t>
  </si>
  <si>
    <t>District staff</t>
  </si>
  <si>
    <t>1 Enrollment; 2 Outcomes</t>
  </si>
  <si>
    <t>Not started</t>
  </si>
  <si>
    <t>D02</t>
  </si>
  <si>
    <t>Long-term weighted ADM (FY27)</t>
  </si>
  <si>
    <t>AOE</t>
  </si>
  <si>
    <t>Phases 1, 3</t>
  </si>
  <si>
    <t>3 Finance</t>
  </si>
  <si>
    <t>D03</t>
  </si>
  <si>
    <t>Per-pupil spending and district financial reports</t>
  </si>
  <si>
    <t>Now; FY27 spending per LTWADM not yet published</t>
  </si>
  <si>
    <t>D04</t>
  </si>
  <si>
    <t>Teacher and staff FTE (FY2020-FY2026)</t>
  </si>
  <si>
    <t>4 Staffing</t>
  </si>
  <si>
    <t>D05</t>
  </si>
  <si>
    <t>Facilities condition (2023 assessment)</t>
  </si>
  <si>
    <t>School Facilities Dashboard; district facilities records</t>
  </si>
  <si>
    <t>6 Facilities</t>
  </si>
  <si>
    <t>D06</t>
  </si>
  <si>
    <t>Education and District Quality Standards reports; graduation requirements</t>
  </si>
  <si>
    <t>Facilitator</t>
  </si>
  <si>
    <t>(Facilitator provides)</t>
  </si>
  <si>
    <t>n/a</t>
  </si>
  <si>
    <t>D07</t>
  </si>
  <si>
    <t>Local program offerings, partnerships, student supports</t>
  </si>
  <si>
    <t>Districts</t>
  </si>
  <si>
    <t>On request</t>
  </si>
  <si>
    <t>Phases 1, 2</t>
  </si>
  <si>
    <t>7 Programs &amp; Supports</t>
  </si>
  <si>
    <t>D08</t>
  </si>
  <si>
    <t>Quality Evaluation Framework</t>
  </si>
  <si>
    <t>AOE and State Board</t>
  </si>
  <si>
    <t>December 2026 (expected)</t>
  </si>
  <si>
    <t>Phase 2</t>
  </si>
  <si>
    <t>D09</t>
  </si>
  <si>
    <t>2026-27 enrollment and financial data</t>
  </si>
  <si>
    <t>December 2026 - January 2027 (expected)</t>
  </si>
  <si>
    <t>1 Enrollment; 3 Finance</t>
  </si>
  <si>
    <t>D10</t>
  </si>
  <si>
    <t>Financial, staffing and scenario-planning tools; equity index</t>
  </si>
  <si>
    <t>February - March 2027 (expected)</t>
  </si>
  <si>
    <t>Phase 3</t>
  </si>
  <si>
    <t>D11</t>
  </si>
  <si>
    <t>Transportation data</t>
  </si>
  <si>
    <t>AOE survey; districts</t>
  </si>
  <si>
    <t>In development</t>
  </si>
  <si>
    <t>5 Transportation</t>
  </si>
  <si>
    <t>D12</t>
  </si>
  <si>
    <t>Union contracts, debt schedules, property records</t>
  </si>
  <si>
    <t>Phase 4</t>
  </si>
  <si>
    <t>8 Contracts, Debt &amp; Property</t>
  </si>
  <si>
    <t>Items submitted</t>
  </si>
  <si>
    <t>Items assigned to district</t>
  </si>
  <si>
    <t>Percent submitted</t>
  </si>
  <si>
    <t>Enrollment and Demographics</t>
  </si>
  <si>
    <t>Needed for: Phase 1. One row per measure and year. Percentages as decimals (0.42 = 42%). Do not add, delete or reorder rows.</t>
  </si>
  <si>
    <t>Definition / how to calculate</t>
  </si>
  <si>
    <t>Unit</t>
  </si>
  <si>
    <t>Value</t>
  </si>
  <si>
    <t>Notes and caveats</t>
  </si>
  <si>
    <t>Phase</t>
  </si>
  <si>
    <t>Trend</t>
  </si>
  <si>
    <t>E01</t>
  </si>
  <si>
    <t>Total PreK-12 enrollment</t>
  </si>
  <si>
    <t>Students enrolled on the official October census date, PreK through grade 12.</t>
  </si>
  <si>
    <t>count</t>
  </si>
  <si>
    <t>FY2020</t>
  </si>
  <si>
    <t>1</t>
  </si>
  <si>
    <t>FY2021</t>
  </si>
  <si>
    <t>FY2022</t>
  </si>
  <si>
    <t>FY2023</t>
  </si>
  <si>
    <t>FY2024</t>
  </si>
  <si>
    <t>FY2025</t>
  </si>
  <si>
    <t>E02</t>
  </si>
  <si>
    <t>Total PreK-12 enrollment, FY2027 (2026-27)</t>
  </si>
  <si>
    <t>Same definition as E01. Expected from AOE Dec 2026 - Jan 2027.</t>
  </si>
  <si>
    <t>FY2027</t>
  </si>
  <si>
    <t>2</t>
  </si>
  <si>
    <t>FY2026 detail</t>
  </si>
  <si>
    <t>E03</t>
  </si>
  <si>
    <t>Enrollment: PreK</t>
  </si>
  <si>
    <t>E04</t>
  </si>
  <si>
    <t>Enrollment: grades K-5</t>
  </si>
  <si>
    <t>E05</t>
  </si>
  <si>
    <t>Enrollment: grades 6-8</t>
  </si>
  <si>
    <t>E06</t>
  </si>
  <si>
    <t>Enrollment: grades 9-12</t>
  </si>
  <si>
    <t>E07</t>
  </si>
  <si>
    <t>Students from low-income households</t>
  </si>
  <si>
    <t>Share of students identified as economically disadvantaged / eligible for free or reduced-price meals.</t>
  </si>
  <si>
    <t>%</t>
  </si>
  <si>
    <t>E08</t>
  </si>
  <si>
    <t>Multilingual learners (English learners)</t>
  </si>
  <si>
    <t>Share of students identified as English learners.</t>
  </si>
  <si>
    <t>E09</t>
  </si>
  <si>
    <t>Number of home languages spoken</t>
  </si>
  <si>
    <t>Distinct primary home languages reported by families.</t>
  </si>
  <si>
    <t>District records</t>
  </si>
  <si>
    <t>E10</t>
  </si>
  <si>
    <t>Share of students on an Individualized Education Program.</t>
  </si>
  <si>
    <t>E11</t>
  </si>
  <si>
    <t>Students with a 504 plan</t>
  </si>
  <si>
    <t>E12</t>
  </si>
  <si>
    <t>Students of color</t>
  </si>
  <si>
    <t>Share of students identifying as a race/ethnicity other than white, non-Hispanic.</t>
  </si>
  <si>
    <t>E13</t>
  </si>
  <si>
    <t>Students experiencing homelessness</t>
  </si>
  <si>
    <t>McKinney-Vento identified students during the year.</t>
  </si>
  <si>
    <t>Public high school choice (FY2026)</t>
  </si>
  <si>
    <t>E14</t>
  </si>
  <si>
    <t>High school choice students going OUT: total</t>
  </si>
  <si>
    <t>Calculated: sum of the four rows below.</t>
  </si>
  <si>
    <t>E15</t>
  </si>
  <si>
    <t xml:space="preserve">  Going out to Burlington</t>
  </si>
  <si>
    <t>Your resident students attending this district's high school through public high school choice. Leave blank if this is your district.</t>
  </si>
  <si>
    <t>E16</t>
  </si>
  <si>
    <t xml:space="preserve">  Going out to South Burlington</t>
  </si>
  <si>
    <t>Leave blank if this is your district.</t>
  </si>
  <si>
    <t>E17</t>
  </si>
  <si>
    <t xml:space="preserve">  Going out to Winooski</t>
  </si>
  <si>
    <t>E18</t>
  </si>
  <si>
    <t xml:space="preserve">  Going out to other Vermont districts</t>
  </si>
  <si>
    <t>All other districts combined.</t>
  </si>
  <si>
    <t>E19</t>
  </si>
  <si>
    <t>High school choice students coming IN: total</t>
  </si>
  <si>
    <t>E20</t>
  </si>
  <si>
    <t xml:space="preserve">  Coming in from Burlington</t>
  </si>
  <si>
    <t>Students from this district attending your high school through public high school choice. Leave blank if this is your district.</t>
  </si>
  <si>
    <t>E21</t>
  </si>
  <si>
    <t xml:space="preserve">  Coming in from South Burlington</t>
  </si>
  <si>
    <t>E22</t>
  </si>
  <si>
    <t xml:space="preserve">  Coming in from Winooski</t>
  </si>
  <si>
    <t>E23</t>
  </si>
  <si>
    <t xml:space="preserve">  Coming in from other Vermont districts</t>
  </si>
  <si>
    <t>Student Outcomes and Opportunity</t>
  </si>
  <si>
    <t>Assessment (most recent year)</t>
  </si>
  <si>
    <t>O01</t>
  </si>
  <si>
    <t>ELA proficiency, grades 3-8</t>
  </si>
  <si>
    <t>Share scoring proficient or above on the state assessment.</t>
  </si>
  <si>
    <t>O02</t>
  </si>
  <si>
    <t>Math proficiency, grades 3-8</t>
  </si>
  <si>
    <t>O03</t>
  </si>
  <si>
    <t>ELA proficiency, grade 9</t>
  </si>
  <si>
    <t>O04</t>
  </si>
  <si>
    <t>Math proficiency, grade 9</t>
  </si>
  <si>
    <t>O05</t>
  </si>
  <si>
    <t>Science proficiency (all tested grades)</t>
  </si>
  <si>
    <t>Attendance and completion</t>
  </si>
  <si>
    <t>O06</t>
  </si>
  <si>
    <t>Chronic absenteeism rate</t>
  </si>
  <si>
    <t>Share of students missing 10% or more of enrolled days.</t>
  </si>
  <si>
    <t>O07</t>
  </si>
  <si>
    <t>Four-year graduation rate</t>
  </si>
  <si>
    <t>O08</t>
  </si>
  <si>
    <t>Six-year graduation rate</t>
  </si>
  <si>
    <t>Course access and pathways</t>
  </si>
  <si>
    <t>O09</t>
  </si>
  <si>
    <t>Distinct high school courses offered</t>
  </si>
  <si>
    <t>Count of unique course titles offered in the school year.</t>
  </si>
  <si>
    <t>Vermont Education Dashboard / district</t>
  </si>
  <si>
    <t>O10</t>
  </si>
  <si>
    <t>Advanced Placement / advanced courses offered</t>
  </si>
  <si>
    <t>O11</t>
  </si>
  <si>
    <t>World languages offered</t>
  </si>
  <si>
    <t>O12</t>
  </si>
  <si>
    <t>Students in dual enrollment or Early College</t>
  </si>
  <si>
    <t>O13</t>
  </si>
  <si>
    <t>Students enrolled in CTE programs</t>
  </si>
  <si>
    <t>Students attending a regional CTE center for any program.</t>
  </si>
  <si>
    <t>District / CTE center records</t>
  </si>
  <si>
    <t>O14</t>
  </si>
  <si>
    <t>Students in flexible pathways (work-based learning, virtual, etc.)</t>
  </si>
  <si>
    <t>Finance</t>
  </si>
  <si>
    <t>Needed for: Phases 1 and 3. One row per measure and year. Percentages as decimals (0.42 = 42%). Do not add, delete or reorder rows.</t>
  </si>
  <si>
    <t>Pupil counts</t>
  </si>
  <si>
    <t>F01</t>
  </si>
  <si>
    <t>Long-term weighted ADM (LTWADM)</t>
  </si>
  <si>
    <t>As published by AOE for the fiscal year.</t>
  </si>
  <si>
    <t>number</t>
  </si>
  <si>
    <t>1, 3</t>
  </si>
  <si>
    <t>Spending (actual / budgeted)</t>
  </si>
  <si>
    <t>F02</t>
  </si>
  <si>
    <t>Total general fund expenditures</t>
  </si>
  <si>
    <t>$</t>
  </si>
  <si>
    <t>District financial reports</t>
  </si>
  <si>
    <t>F03</t>
  </si>
  <si>
    <t>Education spending</t>
  </si>
  <si>
    <t>As defined in Vermont statute for the education tax calculation.</t>
  </si>
  <si>
    <t>AOE / district budget</t>
  </si>
  <si>
    <t>F04</t>
  </si>
  <si>
    <t>Education spending per LTWADM</t>
  </si>
  <si>
    <t>FY2027 not yet published by AOE; leave blank until available.</t>
  </si>
  <si>
    <t>F05</t>
  </si>
  <si>
    <t>Special education expenditures</t>
  </si>
  <si>
    <t>Total, all funding sources.</t>
  </si>
  <si>
    <t>F06</t>
  </si>
  <si>
    <t>Transportation expenditures</t>
  </si>
  <si>
    <t>3</t>
  </si>
  <si>
    <t>F07</t>
  </si>
  <si>
    <t>Tuition paid to other schools</t>
  </si>
  <si>
    <t>F08</t>
  </si>
  <si>
    <t>Tuition received from other districts</t>
  </si>
  <si>
    <t>F09</t>
  </si>
  <si>
    <t>Federal grant revenue</t>
  </si>
  <si>
    <t>Tax and fund position</t>
  </si>
  <si>
    <t>F10</t>
  </si>
  <si>
    <t>Homestead education tax rate (equalized)</t>
  </si>
  <si>
    <t>rate</t>
  </si>
  <si>
    <t>Vermont Dept. of Taxes / AOE</t>
  </si>
  <si>
    <t>F11</t>
  </si>
  <si>
    <t>Common level of appraisal (CLA)</t>
  </si>
  <si>
    <t>Enter as a percent.</t>
  </si>
  <si>
    <t>Vermont Dept. of Taxes</t>
  </si>
  <si>
    <t>F12</t>
  </si>
  <si>
    <t>Unassigned fund balance / reserves</t>
  </si>
  <si>
    <t>As of June 30 of the fiscal year.</t>
  </si>
  <si>
    <t>Audited financial statements</t>
  </si>
  <si>
    <t>3, 4</t>
  </si>
  <si>
    <t>F13</t>
  </si>
  <si>
    <t>Outstanding long-term debt</t>
  </si>
  <si>
    <t>Principal outstanding as of June 30.</t>
  </si>
  <si>
    <t>F14</t>
  </si>
  <si>
    <t>Annual debt service</t>
  </si>
  <si>
    <t>Principal + interest paid in the year.</t>
  </si>
  <si>
    <t>Staffing</t>
  </si>
  <si>
    <t>FTE trend</t>
  </si>
  <si>
    <t>S01</t>
  </si>
  <si>
    <t>Teacher FTE</t>
  </si>
  <si>
    <t>Licensed classroom and specialist teachers.</t>
  </si>
  <si>
    <t>AOE staffing data</t>
  </si>
  <si>
    <t>S02</t>
  </si>
  <si>
    <t>Paraeducator FTE</t>
  </si>
  <si>
    <t>S03</t>
  </si>
  <si>
    <t>Administrator FTE</t>
  </si>
  <si>
    <t>Principals, assistant principals, central office administrators.</t>
  </si>
  <si>
    <t>S04</t>
  </si>
  <si>
    <t>Special educators FTE</t>
  </si>
  <si>
    <t>AOE / district</t>
  </si>
  <si>
    <t>S05</t>
  </si>
  <si>
    <t>Multilingual learner (EL) teachers FTE</t>
  </si>
  <si>
    <t>S06</t>
  </si>
  <si>
    <t>Student support FTE (counselors, social workers, psychologists, nurses)</t>
  </si>
  <si>
    <t>S07</t>
  </si>
  <si>
    <t>Average teacher salary</t>
  </si>
  <si>
    <t>Base salary, full-time teachers.</t>
  </si>
  <si>
    <t>S08</t>
  </si>
  <si>
    <t>Average teacher years of experience</t>
  </si>
  <si>
    <t>years</t>
  </si>
  <si>
    <t>S09</t>
  </si>
  <si>
    <t>Teacher turnover rate</t>
  </si>
  <si>
    <t>Teachers leaving the district between FY2025 and FY2026 / FY2025 teachers.</t>
  </si>
  <si>
    <t>S10</t>
  </si>
  <si>
    <t>Positions unfilled at start of year</t>
  </si>
  <si>
    <t>Calculated (do not edit)</t>
  </si>
  <si>
    <t>S11</t>
  </si>
  <si>
    <t>Students per teacher FTE</t>
  </si>
  <si>
    <t>Calculated: FY2026 enrollment (tab 1, row E01) / FY2026 teacher FTE (row S01).</t>
  </si>
  <si>
    <t>ratio</t>
  </si>
  <si>
    <t>Transportation</t>
  </si>
  <si>
    <t>Needed for: Phase 3. One row per measure and year. Percentages as decimals (0.42 = 42%). Do not add, delete or reorder rows.</t>
  </si>
  <si>
    <t>T01</t>
  </si>
  <si>
    <t>Students transported daily</t>
  </si>
  <si>
    <t>District / AOE survey</t>
  </si>
  <si>
    <t>T02</t>
  </si>
  <si>
    <t>Number of bus routes</t>
  </si>
  <si>
    <t>T03</t>
  </si>
  <si>
    <t>Daily route miles</t>
  </si>
  <si>
    <t>T04</t>
  </si>
  <si>
    <t>Longest one-way ride time (minutes)</t>
  </si>
  <si>
    <t>T05</t>
  </si>
  <si>
    <t>Service model</t>
  </si>
  <si>
    <t>District-owned, contracted, municipal transit, or mixed.</t>
  </si>
  <si>
    <t>text</t>
  </si>
  <si>
    <t>T06</t>
  </si>
  <si>
    <t>Contract expiration date (if contracted)</t>
  </si>
  <si>
    <t>date</t>
  </si>
  <si>
    <t>T07</t>
  </si>
  <si>
    <t>Students transported to CTE or out-of-district programs</t>
  </si>
  <si>
    <t>Facilities</t>
  </si>
  <si>
    <t>Needed for: Phases 1 and 3. One row per school building, including leased and administrative space. Condition from the 2023 statewide facilities assessment. District column fills in automatically.</t>
  </si>
  <si>
    <t>School / building</t>
  </si>
  <si>
    <t>Grades served</t>
  </si>
  <si>
    <t>Year built (original)</t>
  </si>
  <si>
    <t>Major renovation year(s)</t>
  </si>
  <si>
    <t>Gross square feet</t>
  </si>
  <si>
    <t>Design / functional capacity (students)</t>
  </si>
  <si>
    <t>FY2026 enrollment</t>
  </si>
  <si>
    <t>Utilization (calculated)</t>
  </si>
  <si>
    <t>2023 assessment condition rating</t>
  </si>
  <si>
    <t>Facility condition index (FCI), if reported</t>
  </si>
  <si>
    <t>Estimated deferred maintenance ($)</t>
  </si>
  <si>
    <t>Planned capital projects (next 5 years)</t>
  </si>
  <si>
    <t>Planned capital cost ($)</t>
  </si>
  <si>
    <t>Accessibility (ADA) gaps</t>
  </si>
  <si>
    <t>Local Programs, Partnerships and Student Supports</t>
  </si>
  <si>
    <t>Needed for: Phases 1 and 2. Supports the asset map and the question of which local strengths must be protected. One row per program. District column fills in automatically.</t>
  </si>
  <si>
    <t>Program, partnership or support</t>
  </si>
  <si>
    <t>Category</t>
  </si>
  <si>
    <t>Students served (FY2026)</t>
  </si>
  <si>
    <t>Partner organization (if any)</t>
  </si>
  <si>
    <t>Funding source(s)</t>
  </si>
  <si>
    <t>Open to students from other districts?</t>
  </si>
  <si>
    <t>Annual cost ($), if known</t>
  </si>
  <si>
    <t>What makes it distinctive / why it matters to the community</t>
  </si>
  <si>
    <t>Contact</t>
  </si>
  <si>
    <t>Contracts, Debt and Property</t>
  </si>
  <si>
    <t>Needed for: Phase 4 (articles of agreement). One row per collective bargaining agreement, contract, bond/note, lease or property. District column fills in automatically.</t>
  </si>
  <si>
    <t>Type</t>
  </si>
  <si>
    <t>Name / description</t>
  </si>
  <si>
    <t>Counterparty or bargaining unit</t>
  </si>
  <si>
    <t>Start date</t>
  </si>
  <si>
    <t>Expiration / maturity date</t>
  </si>
  <si>
    <t>Amount ($) / principal outstanding</t>
  </si>
  <si>
    <t>Annual payment ($)</t>
  </si>
  <si>
    <t>Key terms relevant to merger (e.g., successor clauses, seniority, call provisions)</t>
  </si>
  <si>
    <t>Owner of record</t>
  </si>
  <si>
    <t>Source document</t>
  </si>
  <si>
    <t>ProgramCat</t>
  </si>
  <si>
    <t>YesNo</t>
  </si>
  <si>
    <t>Condition</t>
  </si>
  <si>
    <t>CDPType</t>
  </si>
  <si>
    <t>Academic</t>
  </si>
  <si>
    <t>Burlington</t>
  </si>
  <si>
    <t>Yes</t>
  </si>
  <si>
    <t>Good</t>
  </si>
  <si>
    <t>Collective bargaining agreement</t>
  </si>
  <si>
    <t>In progress</t>
  </si>
  <si>
    <t>Career &amp; technical</t>
  </si>
  <si>
    <t>South Burlington</t>
  </si>
  <si>
    <t>No</t>
  </si>
  <si>
    <t>Fair</t>
  </si>
  <si>
    <t>Individual contract</t>
  </si>
  <si>
    <t>Submitted</t>
  </si>
  <si>
    <t>Arts</t>
  </si>
  <si>
    <t>Winooski</t>
  </si>
  <si>
    <t>Partly</t>
  </si>
  <si>
    <t>Poor</t>
  </si>
  <si>
    <t>Bond / note</t>
  </si>
  <si>
    <t>Not available</t>
  </si>
  <si>
    <t>Athletics &amp; activities</t>
  </si>
  <si>
    <t>Critical</t>
  </si>
  <si>
    <t>Lease</t>
  </si>
  <si>
    <t>Special education</t>
  </si>
  <si>
    <t>Service contract</t>
  </si>
  <si>
    <t>Multilingual learners</t>
  </si>
  <si>
    <t>Real property</t>
  </si>
  <si>
    <t>Early childhood / PreK</t>
  </si>
  <si>
    <t>Other</t>
  </si>
  <si>
    <t>Before &amp; after school</t>
  </si>
  <si>
    <t>Health &amp; mental health</t>
  </si>
  <si>
    <t>Family &amp; community partnership</t>
  </si>
  <si>
    <t>The committee work plan asks district staff to pull and summarize data for their district in a common format. This workbook is that common format. District staff provide information; the committee does the analysis and makes the judgments.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</si>
</sst>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dd/yyyy"/>
    <numFmt numFmtId="165" formatCode="0.000"/>
    <numFmt numFmtId="166" formatCode="0.0%"/>
    <numFmt numFmtId="167" formatCode="\$#,##0"/>
    <numFmt numFmtId="168" formatCode="0.0000"/>
    <numFmt numFmtId="169" formatCode="0.0"/>
  </numFmts>
  <fonts count="18" x14ac:knownFonts="1">
    <font>
      <sz val="11"/>
      <color theme="1"/>
      <name val="Calibri"/>
      <family val="2"/>
      <charset val="1"/>
    </font>
    <font>
      <b/>
      <sz val="16"/>
      <color rgb="FF1F3A5F"/>
      <name val="Arial"/>
      <charset val="1"/>
    </font>
    <font>
      <i/>
      <sz val="10"/>
      <color rgb="FF595959"/>
      <name val="Arial"/>
      <charset val="1"/>
    </font>
    <font>
      <b/>
      <sz val="11"/>
      <color rgb="FF1F3A5F"/>
      <name val="Arial"/>
      <charset val="1"/>
    </font>
    <font>
      <b/>
      <sz val="10"/>
      <name val="Arial"/>
      <charset val="1"/>
    </font>
    <font>
      <sz val="10"/>
      <color rgb="FF0000FF"/>
      <name val="Arial"/>
      <charset val="1"/>
    </font>
    <font>
      <sz val="10"/>
      <name val="Arial"/>
      <charset val="1"/>
    </font>
    <font>
      <i/>
      <sz val="9"/>
      <name val="Arial"/>
      <charset val="1"/>
    </font>
    <font>
      <sz val="10"/>
      <color rgb="FF000000"/>
      <name val="Arial"/>
      <charset val="1"/>
    </font>
    <font>
      <i/>
      <sz val="9"/>
      <color rgb="FFC00000"/>
      <name val="Arial"/>
      <charset val="1"/>
    </font>
    <font>
      <b/>
      <sz val="9"/>
      <color rgb="FFFFFFFF"/>
      <name val="Arial"/>
      <charset val="1"/>
    </font>
    <font>
      <b/>
      <sz val="14"/>
      <color rgb="FF1F3A5F"/>
      <name val="Arial"/>
      <charset val="1"/>
    </font>
    <font>
      <i/>
      <sz val="9"/>
      <color rgb="FF595959"/>
      <name val="Arial"/>
      <charset val="1"/>
    </font>
    <font>
      <b/>
      <sz val="9"/>
      <color rgb="FF9C5700"/>
      <name val="Arial"/>
      <charset val="1"/>
    </font>
    <font>
      <b/>
      <sz val="10"/>
      <color rgb="FFFFFFFF"/>
      <name val="Arial"/>
      <charset val="1"/>
    </font>
    <font>
      <u/>
      <sz val="10"/>
      <color rgb="FF0563C1"/>
      <name val="Arial"/>
      <charset val="1"/>
    </font>
    <font>
      <i/>
      <sz val="9"/>
      <color rgb="FF7F7F7F"/>
      <name val="Arial"/>
      <charset val="1"/>
    </font>
    <font>
      <b/>
      <sz val="10"/>
      <color rgb="FF1F3A5F"/>
      <name val="Arial"/>
      <charset val="1"/>
    </font>
  </fonts>
  <fills count="6">
    <fill>
      <patternFill patternType="none"/>
    </fill>
    <fill>
      <patternFill patternType="gray125"/>
    </fill>
    <fill>
      <patternFill patternType="solid">
        <fgColor rgb="FFFFF8D6"/>
        <bgColor rgb="FFEEEEEE"/>
      </patternFill>
    </fill>
    <fill>
      <patternFill patternType="solid">
        <fgColor rgb="FFEEEEEE"/>
        <bgColor rgb="FFDCE6F0"/>
      </patternFill>
    </fill>
    <fill>
      <patternFill patternType="solid">
        <fgColor rgb="FF1F3A5F"/>
        <bgColor rgb="FF333333"/>
      </patternFill>
    </fill>
    <fill>
      <patternFill patternType="solid">
        <fgColor rgb="FFDCE6F0"/>
        <bgColor rgb="FFEEEEE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6" fillId="0" borderId="0" xfId="0" applyFont="1" applyAlignment="1">
      <alignment vertical="top" wrapText="1"/>
    </xf>
    <xf numFmtId="164" fontId="5" fillId="2" borderId="1" xfId="0" applyNumberFormat="1" applyFont="1" applyFill="1" applyBorder="1" applyAlignment="1">
      <alignment vertical="top" wrapText="1"/>
    </xf>
    <xf numFmtId="0" fontId="5" fillId="2" borderId="1" xfId="0" applyFont="1" applyFill="1" applyBorder="1" applyAlignment="1">
      <alignment vertical="top" wrapText="1"/>
    </xf>
    <xf numFmtId="0" fontId="1" fillId="0" borderId="0" xfId="0" applyFont="1"/>
    <xf numFmtId="0" fontId="2" fillId="0" borderId="0" xfId="0" applyFont="1"/>
    <xf numFmtId="0" fontId="3" fillId="0" borderId="0" xfId="0" applyFont="1"/>
    <xf numFmtId="0" fontId="4" fillId="0" borderId="0" xfId="0" applyFont="1" applyAlignment="1">
      <alignment horizontal="right"/>
    </xf>
    <xf numFmtId="0" fontId="5" fillId="2" borderId="1" xfId="0" applyFont="1" applyFill="1" applyBorder="1" applyAlignment="1">
      <alignment vertical="top" wrapText="1"/>
    </xf>
    <xf numFmtId="164" fontId="5" fillId="2" borderId="1" xfId="0" applyNumberFormat="1" applyFont="1" applyFill="1" applyBorder="1" applyAlignment="1">
      <alignment vertical="top" wrapText="1"/>
    </xf>
    <xf numFmtId="0" fontId="3" fillId="0" borderId="0" xfId="0" applyFont="1" applyAlignment="1">
      <alignment vertical="top" wrapText="1"/>
    </xf>
    <xf numFmtId="0" fontId="7" fillId="0" borderId="0" xfId="0" applyFont="1"/>
    <xf numFmtId="0" fontId="8" fillId="3" borderId="1" xfId="0" applyFont="1" applyFill="1" applyBorder="1" applyAlignment="1">
      <alignment vertical="top" wrapText="1"/>
    </xf>
    <xf numFmtId="0" fontId="9" fillId="0" borderId="0" xfId="0" applyFont="1"/>
    <xf numFmtId="0" fontId="10" fillId="4" borderId="1" xfId="0" applyFont="1" applyFill="1" applyBorder="1" applyAlignment="1">
      <alignment vertical="top" wrapText="1"/>
    </xf>
    <xf numFmtId="0" fontId="7" fillId="0" borderId="1" xfId="0" applyFont="1" applyBorder="1" applyAlignment="1">
      <alignment vertical="top" wrapText="1"/>
    </xf>
    <xf numFmtId="165" fontId="7" fillId="0" borderId="1" xfId="0" applyNumberFormat="1" applyFont="1" applyBorder="1" applyAlignment="1">
      <alignment vertical="top" wrapText="1"/>
    </xf>
    <xf numFmtId="166" fontId="7" fillId="0" borderId="1" xfId="0" applyNumberFormat="1" applyFont="1" applyBorder="1" applyAlignment="1">
      <alignment vertical="top" wrapText="1"/>
    </xf>
    <xf numFmtId="0" fontId="11" fillId="0" borderId="0" xfId="0" applyFont="1"/>
    <xf numFmtId="0" fontId="12" fillId="0" borderId="0" xfId="0" applyFont="1"/>
    <xf numFmtId="0" fontId="13" fillId="0" borderId="0" xfId="0" applyFont="1"/>
    <xf numFmtId="0" fontId="14" fillId="4" borderId="1" xfId="0" applyFont="1" applyFill="1" applyBorder="1" applyAlignment="1">
      <alignment vertical="center" wrapText="1"/>
    </xf>
    <xf numFmtId="0" fontId="8" fillId="0" borderId="1" xfId="0" applyFont="1" applyBorder="1" applyAlignment="1">
      <alignment vertical="top" wrapText="1"/>
    </xf>
    <xf numFmtId="0" fontId="15" fillId="0" borderId="1" xfId="0" applyFont="1" applyBorder="1" applyAlignment="1">
      <alignment vertical="top" wrapText="1"/>
    </xf>
    <xf numFmtId="0" fontId="16" fillId="3" borderId="1" xfId="0" applyFont="1" applyFill="1" applyBorder="1" applyAlignment="1">
      <alignment vertical="top" wrapText="1"/>
    </xf>
    <xf numFmtId="1" fontId="8" fillId="3" borderId="1" xfId="0" applyNumberFormat="1" applyFont="1" applyFill="1" applyBorder="1" applyAlignment="1">
      <alignment vertical="top" wrapText="1"/>
    </xf>
    <xf numFmtId="9" fontId="8" fillId="3" borderId="1" xfId="0" applyNumberFormat="1" applyFont="1" applyFill="1" applyBorder="1" applyAlignment="1">
      <alignment vertical="top" wrapText="1"/>
    </xf>
    <xf numFmtId="0" fontId="17" fillId="5" borderId="0" xfId="0" applyFont="1" applyFill="1"/>
    <xf numFmtId="0" fontId="0" fillId="5" borderId="0" xfId="0" applyFill="1"/>
    <xf numFmtId="3" fontId="5" fillId="2" borderId="1" xfId="0" applyNumberFormat="1" applyFont="1" applyFill="1" applyBorder="1" applyAlignment="1">
      <alignment vertical="top" wrapText="1"/>
    </xf>
    <xf numFmtId="166" fontId="5" fillId="2" borderId="1" xfId="0" applyNumberFormat="1" applyFont="1" applyFill="1" applyBorder="1" applyAlignment="1">
      <alignment vertical="top" wrapText="1"/>
    </xf>
    <xf numFmtId="3" fontId="8" fillId="3" borderId="1" xfId="0" applyNumberFormat="1" applyFont="1" applyFill="1" applyBorder="1" applyAlignment="1">
      <alignment vertical="top" wrapText="1"/>
    </xf>
    <xf numFmtId="4" fontId="5" fillId="2" borderId="1" xfId="0" applyNumberFormat="1" applyFont="1" applyFill="1" applyBorder="1" applyAlignment="1">
      <alignment vertical="top" wrapText="1"/>
    </xf>
    <xf numFmtId="167" fontId="5" fillId="2" borderId="1" xfId="0" applyNumberFormat="1" applyFont="1" applyFill="1" applyBorder="1" applyAlignment="1">
      <alignment vertical="top" wrapText="1"/>
    </xf>
    <xf numFmtId="168" fontId="5" fillId="2" borderId="1" xfId="0" applyNumberFormat="1" applyFont="1" applyFill="1" applyBorder="1" applyAlignment="1">
      <alignment vertical="top" wrapText="1"/>
    </xf>
    <xf numFmtId="169" fontId="5" fillId="2" borderId="1" xfId="0" applyNumberFormat="1" applyFont="1" applyFill="1" applyBorder="1" applyAlignment="1">
      <alignment vertical="top" wrapText="1"/>
    </xf>
    <xf numFmtId="169" fontId="8" fillId="3" borderId="1" xfId="0" applyNumberFormat="1" applyFont="1" applyFill="1" applyBorder="1" applyAlignment="1">
      <alignment vertical="top" wrapText="1"/>
    </xf>
    <xf numFmtId="49" fontId="5" fillId="2" borderId="1" xfId="0" applyNumberFormat="1" applyFont="1" applyFill="1" applyBorder="1" applyAlignment="1">
      <alignment vertical="top" wrapText="1"/>
    </xf>
    <xf numFmtId="1" fontId="5" fillId="2" borderId="1" xfId="0" applyNumberFormat="1" applyFont="1" applyFill="1" applyBorder="1" applyAlignment="1">
      <alignment vertical="top" wrapText="1"/>
    </xf>
  </cellXfs>
  <cellStyles count="1">
    <cellStyle name="Normal" xfId="0" builtinId="0"/>
  </cellStyles>
  <dxfs count="3">
    <dxf>
      <fill>
        <patternFill>
          <bgColor rgb="FFF4CCCC"/>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8D6"/>
      <rgbColor rgb="FFDCE6F0"/>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EEEEE"/>
      <rgbColor rgb="FFC6EFCE"/>
      <rgbColor rgb="FFFFEB9C"/>
      <rgbColor rgb="FF99CCFF"/>
      <rgbColor rgb="FFFF99CC"/>
      <rgbColor rgb="FFCC99FF"/>
      <rgbColor rgb="FFF4CCCC"/>
      <rgbColor rgb="FF3366FF"/>
      <rgbColor rgb="FF33CCCC"/>
      <rgbColor rgb="FF99CC00"/>
      <rgbColor rgb="FFFFCC00"/>
      <rgbColor rgb="FFFF9900"/>
      <rgbColor rgb="FFFF6600"/>
      <rgbColor rgb="FF595959"/>
      <rgbColor rgb="FF969696"/>
      <rgbColor rgb="FF1F3A5F"/>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erger_Study_District_Data_Template_DRAFT.xlsx" TargetMode="External"/><Relationship Id="rId3" Type="http://schemas.openxmlformats.org/officeDocument/2006/relationships/hyperlink" Target="Merger_Study_District_Data_Template_DRAFT.xlsx" TargetMode="External"/><Relationship Id="rId7" Type="http://schemas.openxmlformats.org/officeDocument/2006/relationships/hyperlink" Target="Merger_Study_District_Data_Template_DRAFT.xlsx" TargetMode="External"/><Relationship Id="rId2" Type="http://schemas.openxmlformats.org/officeDocument/2006/relationships/hyperlink" Target="Merger_Study_District_Data_Template_DRAFT.xlsx" TargetMode="External"/><Relationship Id="rId1" Type="http://schemas.openxmlformats.org/officeDocument/2006/relationships/hyperlink" Target="Merger_Study_District_Data_Template_DRAFT.xlsx" TargetMode="External"/><Relationship Id="rId6" Type="http://schemas.openxmlformats.org/officeDocument/2006/relationships/hyperlink" Target="Merger_Study_District_Data_Template_DRAFT.xlsx" TargetMode="External"/><Relationship Id="rId5" Type="http://schemas.openxmlformats.org/officeDocument/2006/relationships/hyperlink" Target="Merger_Study_District_Data_Template_DRAFT.xlsx" TargetMode="External"/><Relationship Id="rId4" Type="http://schemas.openxmlformats.org/officeDocument/2006/relationships/hyperlink" Target="Merger_Study_District_Data_Template_DRAFT.xlsx" TargetMode="External"/><Relationship Id="rId9" Type="http://schemas.openxmlformats.org/officeDocument/2006/relationships/hyperlink" Target="Merger_Study_District_Data_Template_DRAFT.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3"/>
  <sheetViews>
    <sheetView showGridLines="0" zoomScaleNormal="100" workbookViewId="0">
      <selection activeCell="I14" sqref="I14"/>
    </sheetView>
  </sheetViews>
  <sheetFormatPr defaultColWidth="8.7109375" defaultRowHeight="15" x14ac:dyDescent="0.25"/>
  <cols>
    <col min="1" max="1" width="31" customWidth="1"/>
    <col min="2" max="8" width="16" customWidth="1"/>
  </cols>
  <sheetData>
    <row r="1" spans="1:8" ht="20.25" x14ac:dyDescent="0.3">
      <c r="A1" s="4" t="s">
        <v>0</v>
      </c>
    </row>
    <row r="2" spans="1:8" x14ac:dyDescent="0.25">
      <c r="A2" s="5" t="s">
        <v>1</v>
      </c>
    </row>
    <row r="4" spans="1:8" x14ac:dyDescent="0.25">
      <c r="A4" s="6" t="s">
        <v>2</v>
      </c>
    </row>
    <row r="5" spans="1:8" x14ac:dyDescent="0.25">
      <c r="A5" s="7" t="s">
        <v>3</v>
      </c>
      <c r="C5" s="3"/>
      <c r="D5" s="3"/>
      <c r="E5" s="3"/>
    </row>
    <row r="6" spans="1:8" x14ac:dyDescent="0.25">
      <c r="A6" s="7" t="s">
        <v>4</v>
      </c>
      <c r="C6" s="3"/>
      <c r="D6" s="3"/>
      <c r="E6" s="3"/>
    </row>
    <row r="7" spans="1:8" x14ac:dyDescent="0.25">
      <c r="A7" s="7" t="s">
        <v>5</v>
      </c>
      <c r="C7" s="2"/>
      <c r="D7" s="2"/>
      <c r="E7" s="2"/>
    </row>
    <row r="9" spans="1:8" ht="44.25" customHeight="1" x14ac:dyDescent="0.25">
      <c r="A9" s="10" t="s">
        <v>6</v>
      </c>
      <c r="B9" s="1" t="s">
        <v>397</v>
      </c>
      <c r="C9" s="1"/>
      <c r="D9" s="1"/>
      <c r="E9" s="1"/>
      <c r="F9" s="1"/>
      <c r="G9" s="1"/>
      <c r="H9" s="1"/>
    </row>
    <row r="11" spans="1:8" ht="152.25" customHeight="1" x14ac:dyDescent="0.25">
      <c r="A11" s="10" t="s">
        <v>7</v>
      </c>
      <c r="B11" s="1" t="s">
        <v>8</v>
      </c>
      <c r="C11" s="1"/>
      <c r="D11" s="1"/>
      <c r="E11" s="1"/>
      <c r="F11" s="1"/>
      <c r="G11" s="1"/>
      <c r="H11" s="1"/>
    </row>
    <row r="14" spans="1:8" ht="57.75" customHeight="1" x14ac:dyDescent="0.25">
      <c r="A14" s="10" t="s">
        <v>9</v>
      </c>
      <c r="B14" s="1" t="s">
        <v>10</v>
      </c>
      <c r="C14" s="1"/>
      <c r="D14" s="1"/>
      <c r="E14" s="1"/>
      <c r="F14" s="1"/>
      <c r="G14" s="1"/>
      <c r="H14" s="1"/>
    </row>
    <row r="16" spans="1:8" x14ac:dyDescent="0.25">
      <c r="A16" s="6" t="s">
        <v>11</v>
      </c>
      <c r="B16" s="8" t="s">
        <v>12</v>
      </c>
      <c r="C16" s="11" t="s">
        <v>13</v>
      </c>
    </row>
    <row r="17" spans="1:8" x14ac:dyDescent="0.25">
      <c r="B17" s="12" t="s">
        <v>14</v>
      </c>
      <c r="C17" s="11" t="s">
        <v>15</v>
      </c>
    </row>
    <row r="19" spans="1:8" x14ac:dyDescent="0.25">
      <c r="A19" s="6" t="s">
        <v>16</v>
      </c>
      <c r="B19" s="13" t="s">
        <v>17</v>
      </c>
    </row>
    <row r="20" spans="1:8" x14ac:dyDescent="0.25">
      <c r="A20" s="14" t="s">
        <v>18</v>
      </c>
      <c r="B20" s="14" t="s">
        <v>19</v>
      </c>
      <c r="C20" s="14" t="s">
        <v>20</v>
      </c>
      <c r="D20" s="14" t="s">
        <v>21</v>
      </c>
      <c r="E20" s="14" t="s">
        <v>22</v>
      </c>
      <c r="F20" s="14" t="s">
        <v>23</v>
      </c>
      <c r="G20" s="14" t="s">
        <v>24</v>
      </c>
    </row>
    <row r="21" spans="1:8" ht="25.5" customHeight="1" x14ac:dyDescent="0.25">
      <c r="A21" s="15" t="s">
        <v>25</v>
      </c>
      <c r="B21" s="15" t="s">
        <v>26</v>
      </c>
      <c r="C21" s="16">
        <v>0.183</v>
      </c>
      <c r="D21" s="17">
        <v>0.183</v>
      </c>
      <c r="E21" s="15" t="s">
        <v>27</v>
      </c>
      <c r="F21" s="15" t="s">
        <v>28</v>
      </c>
      <c r="G21" s="15" t="s">
        <v>29</v>
      </c>
    </row>
    <row r="23" spans="1:8" ht="33.75" customHeight="1" x14ac:dyDescent="0.25">
      <c r="A23" s="10" t="s">
        <v>30</v>
      </c>
      <c r="B23" s="1" t="s">
        <v>31</v>
      </c>
      <c r="C23" s="1"/>
      <c r="D23" s="1"/>
      <c r="E23" s="1"/>
      <c r="F23" s="1"/>
      <c r="G23" s="1"/>
      <c r="H23" s="1"/>
    </row>
  </sheetData>
  <mergeCells count="7">
    <mergeCell ref="B14:H14"/>
    <mergeCell ref="B23:H23"/>
    <mergeCell ref="C5:E5"/>
    <mergeCell ref="C6:E6"/>
    <mergeCell ref="C7:E7"/>
    <mergeCell ref="B9:H9"/>
    <mergeCell ref="B11:H11"/>
  </mergeCell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000-000000000000}">
          <x14:formula1>
            <xm:f>Lists!$C$2:$C$4</xm:f>
          </x14:formula1>
          <x14:formula2>
            <xm:f>0</xm:f>
          </x14:formula2>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1"/>
  <sheetViews>
    <sheetView tabSelected="1" zoomScaleNormal="100" workbookViewId="0">
      <pane xSplit="2" ySplit="5" topLeftCell="C6" activePane="bottomRight" state="frozen"/>
      <selection pane="topRight" activeCell="C1" sqref="C1"/>
      <selection pane="bottomLeft" activeCell="A6" sqref="A6"/>
      <selection pane="bottomRight"/>
    </sheetView>
  </sheetViews>
  <sheetFormatPr defaultColWidth="8.7109375" defaultRowHeight="15" x14ac:dyDescent="0.25"/>
  <cols>
    <col min="1" max="1" width="6" customWidth="1"/>
    <col min="2" max="2" width="40" customWidth="1"/>
    <col min="3" max="3" width="26" customWidth="1"/>
    <col min="4" max="4" width="22" customWidth="1"/>
    <col min="5" max="5" width="12" customWidth="1"/>
    <col min="6" max="6" width="13" customWidth="1"/>
    <col min="7" max="7" width="22" customWidth="1"/>
    <col min="8" max="8" width="14" customWidth="1"/>
    <col min="9" max="9" width="12" customWidth="1"/>
    <col min="10" max="10" width="34" customWidth="1"/>
  </cols>
  <sheetData>
    <row r="1" spans="1:10" ht="18" x14ac:dyDescent="0.25">
      <c r="A1" s="18" t="s">
        <v>32</v>
      </c>
    </row>
    <row r="2" spans="1:10" x14ac:dyDescent="0.25">
      <c r="A2" s="19" t="s">
        <v>33</v>
      </c>
    </row>
    <row r="3" spans="1:10"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0" ht="39.75" customHeight="1" x14ac:dyDescent="0.25">
      <c r="A5" s="21" t="s">
        <v>34</v>
      </c>
      <c r="B5" s="21" t="s">
        <v>35</v>
      </c>
      <c r="C5" s="21" t="s">
        <v>22</v>
      </c>
      <c r="D5" s="21" t="s">
        <v>36</v>
      </c>
      <c r="E5" s="21" t="s">
        <v>37</v>
      </c>
      <c r="F5" s="21" t="s">
        <v>38</v>
      </c>
      <c r="G5" s="21" t="s">
        <v>39</v>
      </c>
      <c r="H5" s="21" t="s">
        <v>40</v>
      </c>
      <c r="I5" s="21" t="s">
        <v>41</v>
      </c>
      <c r="J5" s="21" t="s">
        <v>24</v>
      </c>
    </row>
    <row r="6" spans="1:10" ht="25.5" x14ac:dyDescent="0.25">
      <c r="A6" s="22" t="s">
        <v>42</v>
      </c>
      <c r="B6" s="22" t="s">
        <v>43</v>
      </c>
      <c r="C6" s="22" t="s">
        <v>27</v>
      </c>
      <c r="D6" s="22" t="s">
        <v>44</v>
      </c>
      <c r="E6" s="22" t="s">
        <v>45</v>
      </c>
      <c r="F6" s="22" t="s">
        <v>46</v>
      </c>
      <c r="G6" s="23" t="s">
        <v>47</v>
      </c>
      <c r="H6" s="8" t="s">
        <v>48</v>
      </c>
      <c r="I6" s="9"/>
      <c r="J6" s="8"/>
    </row>
    <row r="7" spans="1:10" x14ac:dyDescent="0.25">
      <c r="A7" s="22" t="s">
        <v>49</v>
      </c>
      <c r="B7" s="22" t="s">
        <v>50</v>
      </c>
      <c r="C7" s="22" t="s">
        <v>51</v>
      </c>
      <c r="D7" s="22" t="s">
        <v>44</v>
      </c>
      <c r="E7" s="22" t="s">
        <v>52</v>
      </c>
      <c r="F7" s="22" t="s">
        <v>46</v>
      </c>
      <c r="G7" s="23" t="s">
        <v>53</v>
      </c>
      <c r="H7" s="8" t="s">
        <v>48</v>
      </c>
      <c r="I7" s="9"/>
      <c r="J7" s="8"/>
    </row>
    <row r="8" spans="1:10" ht="38.25" x14ac:dyDescent="0.25">
      <c r="A8" s="22" t="s">
        <v>54</v>
      </c>
      <c r="B8" s="22" t="s">
        <v>55</v>
      </c>
      <c r="C8" s="22" t="s">
        <v>51</v>
      </c>
      <c r="D8" s="22" t="s">
        <v>56</v>
      </c>
      <c r="E8" s="22" t="s">
        <v>52</v>
      </c>
      <c r="F8" s="22" t="s">
        <v>46</v>
      </c>
      <c r="G8" s="23" t="s">
        <v>53</v>
      </c>
      <c r="H8" s="8" t="s">
        <v>48</v>
      </c>
      <c r="I8" s="9"/>
      <c r="J8" s="8"/>
    </row>
    <row r="9" spans="1:10" x14ac:dyDescent="0.25">
      <c r="A9" s="22" t="s">
        <v>57</v>
      </c>
      <c r="B9" s="22" t="s">
        <v>58</v>
      </c>
      <c r="C9" s="22" t="s">
        <v>51</v>
      </c>
      <c r="D9" s="22" t="s">
        <v>44</v>
      </c>
      <c r="E9" s="22" t="s">
        <v>52</v>
      </c>
      <c r="F9" s="22" t="s">
        <v>46</v>
      </c>
      <c r="G9" s="23" t="s">
        <v>59</v>
      </c>
      <c r="H9" s="8" t="s">
        <v>48</v>
      </c>
      <c r="I9" s="9"/>
      <c r="J9" s="8"/>
    </row>
    <row r="10" spans="1:10" ht="25.5" x14ac:dyDescent="0.25">
      <c r="A10" s="22" t="s">
        <v>60</v>
      </c>
      <c r="B10" s="22" t="s">
        <v>61</v>
      </c>
      <c r="C10" s="22" t="s">
        <v>62</v>
      </c>
      <c r="D10" s="22" t="s">
        <v>44</v>
      </c>
      <c r="E10" s="22" t="s">
        <v>52</v>
      </c>
      <c r="F10" s="22" t="s">
        <v>46</v>
      </c>
      <c r="G10" s="23" t="s">
        <v>63</v>
      </c>
      <c r="H10" s="8" t="s">
        <v>48</v>
      </c>
      <c r="I10" s="9"/>
      <c r="J10" s="8"/>
    </row>
    <row r="11" spans="1:10" ht="25.5" x14ac:dyDescent="0.25">
      <c r="A11" s="22" t="s">
        <v>64</v>
      </c>
      <c r="B11" s="22" t="s">
        <v>65</v>
      </c>
      <c r="C11" s="22" t="s">
        <v>51</v>
      </c>
      <c r="D11" s="22" t="s">
        <v>44</v>
      </c>
      <c r="E11" s="22" t="s">
        <v>45</v>
      </c>
      <c r="F11" s="22" t="s">
        <v>66</v>
      </c>
      <c r="G11" s="22" t="s">
        <v>67</v>
      </c>
      <c r="H11" s="24" t="s">
        <v>68</v>
      </c>
      <c r="I11" s="9"/>
      <c r="J11" s="8"/>
    </row>
    <row r="12" spans="1:10" ht="25.5" x14ac:dyDescent="0.25">
      <c r="A12" s="22" t="s">
        <v>69</v>
      </c>
      <c r="B12" s="22" t="s">
        <v>70</v>
      </c>
      <c r="C12" s="22" t="s">
        <v>71</v>
      </c>
      <c r="D12" s="22" t="s">
        <v>72</v>
      </c>
      <c r="E12" s="22" t="s">
        <v>73</v>
      </c>
      <c r="F12" s="22" t="s">
        <v>46</v>
      </c>
      <c r="G12" s="23" t="s">
        <v>74</v>
      </c>
      <c r="H12" s="8" t="s">
        <v>48</v>
      </c>
      <c r="I12" s="9"/>
      <c r="J12" s="8"/>
    </row>
    <row r="13" spans="1:10" ht="25.5" x14ac:dyDescent="0.25">
      <c r="A13" s="22" t="s">
        <v>75</v>
      </c>
      <c r="B13" s="22" t="s">
        <v>76</v>
      </c>
      <c r="C13" s="22" t="s">
        <v>77</v>
      </c>
      <c r="D13" s="22" t="s">
        <v>78</v>
      </c>
      <c r="E13" s="22" t="s">
        <v>79</v>
      </c>
      <c r="F13" s="22" t="s">
        <v>66</v>
      </c>
      <c r="G13" s="22" t="s">
        <v>67</v>
      </c>
      <c r="H13" s="24" t="s">
        <v>68</v>
      </c>
      <c r="I13" s="9"/>
      <c r="J13" s="8"/>
    </row>
    <row r="14" spans="1:10" ht="25.5" x14ac:dyDescent="0.25">
      <c r="A14" s="22" t="s">
        <v>80</v>
      </c>
      <c r="B14" s="22" t="s">
        <v>81</v>
      </c>
      <c r="C14" s="22" t="s">
        <v>51</v>
      </c>
      <c r="D14" s="22" t="s">
        <v>82</v>
      </c>
      <c r="E14" s="22" t="s">
        <v>79</v>
      </c>
      <c r="F14" s="22" t="s">
        <v>46</v>
      </c>
      <c r="G14" s="23" t="s">
        <v>83</v>
      </c>
      <c r="H14" s="8" t="s">
        <v>48</v>
      </c>
      <c r="I14" s="9"/>
      <c r="J14" s="8"/>
    </row>
    <row r="15" spans="1:10" ht="25.5" x14ac:dyDescent="0.25">
      <c r="A15" s="22" t="s">
        <v>84</v>
      </c>
      <c r="B15" s="22" t="s">
        <v>85</v>
      </c>
      <c r="C15" s="22" t="s">
        <v>51</v>
      </c>
      <c r="D15" s="22" t="s">
        <v>86</v>
      </c>
      <c r="E15" s="22" t="s">
        <v>87</v>
      </c>
      <c r="F15" s="22" t="s">
        <v>66</v>
      </c>
      <c r="G15" s="22" t="s">
        <v>67</v>
      </c>
      <c r="H15" s="24" t="s">
        <v>68</v>
      </c>
      <c r="I15" s="9"/>
      <c r="J15" s="8"/>
    </row>
    <row r="16" spans="1:10" x14ac:dyDescent="0.25">
      <c r="A16" s="22" t="s">
        <v>88</v>
      </c>
      <c r="B16" s="22" t="s">
        <v>89</v>
      </c>
      <c r="C16" s="22" t="s">
        <v>90</v>
      </c>
      <c r="D16" s="22" t="s">
        <v>91</v>
      </c>
      <c r="E16" s="22" t="s">
        <v>87</v>
      </c>
      <c r="F16" s="22" t="s">
        <v>46</v>
      </c>
      <c r="G16" s="23" t="s">
        <v>92</v>
      </c>
      <c r="H16" s="8" t="s">
        <v>48</v>
      </c>
      <c r="I16" s="9"/>
      <c r="J16" s="8"/>
    </row>
    <row r="17" spans="1:10" ht="25.5" x14ac:dyDescent="0.25">
      <c r="A17" s="22" t="s">
        <v>93</v>
      </c>
      <c r="B17" s="22" t="s">
        <v>94</v>
      </c>
      <c r="C17" s="22" t="s">
        <v>71</v>
      </c>
      <c r="D17" s="22" t="s">
        <v>72</v>
      </c>
      <c r="E17" s="22" t="s">
        <v>95</v>
      </c>
      <c r="F17" s="22" t="s">
        <v>46</v>
      </c>
      <c r="G17" s="23" t="s">
        <v>96</v>
      </c>
      <c r="H17" s="8" t="s">
        <v>48</v>
      </c>
      <c r="I17" s="9"/>
      <c r="J17" s="8"/>
    </row>
    <row r="19" spans="1:10" x14ac:dyDescent="0.25">
      <c r="G19" s="7" t="s">
        <v>97</v>
      </c>
      <c r="H19" s="25">
        <f>COUNTIF(H6:H17,"Submitted")</f>
        <v>0</v>
      </c>
    </row>
    <row r="20" spans="1:10" x14ac:dyDescent="0.25">
      <c r="G20" s="7" t="s">
        <v>98</v>
      </c>
      <c r="H20" s="25">
        <f>COUNTA(H6:H17)-COUNTIF(H6:H17,"n/a")</f>
        <v>9</v>
      </c>
    </row>
    <row r="21" spans="1:10" x14ac:dyDescent="0.25">
      <c r="G21" s="7" t="s">
        <v>99</v>
      </c>
      <c r="H21" s="26">
        <f>IFERROR(H19/H20,0)</f>
        <v>0</v>
      </c>
    </row>
  </sheetData>
  <conditionalFormatting sqref="H6:H17">
    <cfRule type="cellIs" dxfId="2" priority="2" operator="equal">
      <formula>"Submitted"</formula>
    </cfRule>
    <cfRule type="cellIs" dxfId="1" priority="3" operator="equal">
      <formula>"In progress"</formula>
    </cfRule>
    <cfRule type="cellIs" dxfId="0" priority="4" operator="equal">
      <formula>"Not available"</formula>
    </cfRule>
  </conditionalFormatting>
  <hyperlinks>
    <hyperlink ref="G6" r:id="rId1" location="'1%20Enrollment'!A1" xr:uid="{00000000-0004-0000-0100-000000000000}"/>
    <hyperlink ref="G7" r:id="rId2" location="'3%20Finance'!A1" xr:uid="{00000000-0004-0000-0100-000001000000}"/>
    <hyperlink ref="G8" r:id="rId3" location="'3%20Finance'!A1" xr:uid="{00000000-0004-0000-0100-000002000000}"/>
    <hyperlink ref="G9" r:id="rId4" location="'4%20Staffing'!A1" xr:uid="{00000000-0004-0000-0100-000003000000}"/>
    <hyperlink ref="G10" r:id="rId5" location="'6%20Facilities'!A1" xr:uid="{00000000-0004-0000-0100-000004000000}"/>
    <hyperlink ref="G12" r:id="rId6" location="'7%20Programs%20&amp;%20Supports'!A1" xr:uid="{00000000-0004-0000-0100-000005000000}"/>
    <hyperlink ref="G14" r:id="rId7" location="'1%20Enrollment'!A1" xr:uid="{00000000-0004-0000-0100-000006000000}"/>
    <hyperlink ref="G16" r:id="rId8" location="'5%20Transportation'!A1" xr:uid="{00000000-0004-0000-0100-000007000000}"/>
    <hyperlink ref="G17" r:id="rId9" location="'8%20Contracts,%20Debt%20&amp;%20Property'!A1" xr:uid="{00000000-0004-0000-0100-000008000000}"/>
  </hyperlink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100-000000000000}">
          <x14:formula1>
            <xm:f>Lists!$A$2:$A$5</xm:f>
          </x14:formula1>
          <x14:formula2>
            <xm:f>0</xm:f>
          </x14:formula2>
          <xm:sqref>H6:H17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7"/>
  <sheetViews>
    <sheetView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5" x14ac:dyDescent="0.25"/>
  <cols>
    <col min="1" max="1" width="7" customWidth="1"/>
    <col min="2" max="2" width="34" customWidth="1"/>
    <col min="3" max="3" width="42" customWidth="1"/>
    <col min="4" max="5" width="9" customWidth="1"/>
    <col min="6" max="6" width="15" customWidth="1"/>
    <col min="7" max="7" width="26" customWidth="1"/>
    <col min="8" max="8" width="12" customWidth="1"/>
    <col min="9" max="9" width="40" customWidth="1"/>
    <col min="10" max="10" width="8" customWidth="1"/>
  </cols>
  <sheetData>
    <row r="1" spans="1:10" ht="18" x14ac:dyDescent="0.25">
      <c r="A1" s="18" t="s">
        <v>100</v>
      </c>
    </row>
    <row r="2" spans="1:10" x14ac:dyDescent="0.25">
      <c r="A2" s="19" t="s">
        <v>101</v>
      </c>
    </row>
    <row r="3" spans="1:10"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0" ht="39.75" customHeight="1" x14ac:dyDescent="0.25">
      <c r="A5" s="21" t="s">
        <v>34</v>
      </c>
      <c r="B5" s="21" t="s">
        <v>18</v>
      </c>
      <c r="C5" s="21" t="s">
        <v>102</v>
      </c>
      <c r="D5" s="21" t="s">
        <v>103</v>
      </c>
      <c r="E5" s="21" t="s">
        <v>19</v>
      </c>
      <c r="F5" s="21" t="s">
        <v>104</v>
      </c>
      <c r="G5" s="21" t="s">
        <v>22</v>
      </c>
      <c r="H5" s="21" t="s">
        <v>23</v>
      </c>
      <c r="I5" s="21" t="s">
        <v>105</v>
      </c>
      <c r="J5" s="21" t="s">
        <v>106</v>
      </c>
    </row>
    <row r="6" spans="1:10" x14ac:dyDescent="0.25">
      <c r="A6" s="27" t="s">
        <v>107</v>
      </c>
      <c r="B6" s="28"/>
      <c r="C6" s="28"/>
      <c r="D6" s="28"/>
      <c r="E6" s="28"/>
      <c r="F6" s="28"/>
      <c r="G6" s="28"/>
      <c r="H6" s="28"/>
      <c r="I6" s="28"/>
      <c r="J6" s="28"/>
    </row>
    <row r="7" spans="1:10" ht="25.5" x14ac:dyDescent="0.25">
      <c r="A7" s="22" t="s">
        <v>108</v>
      </c>
      <c r="B7" s="22" t="s">
        <v>109</v>
      </c>
      <c r="C7" s="22" t="s">
        <v>110</v>
      </c>
      <c r="D7" s="22" t="s">
        <v>111</v>
      </c>
      <c r="E7" s="22" t="s">
        <v>112</v>
      </c>
      <c r="F7" s="29"/>
      <c r="G7" s="8" t="s">
        <v>27</v>
      </c>
      <c r="H7" s="9"/>
      <c r="I7" s="8"/>
      <c r="J7" s="22" t="s">
        <v>113</v>
      </c>
    </row>
    <row r="8" spans="1:10" ht="25.5" x14ac:dyDescent="0.25">
      <c r="A8" s="22" t="s">
        <v>108</v>
      </c>
      <c r="B8" s="22" t="s">
        <v>109</v>
      </c>
      <c r="C8" s="22" t="s">
        <v>110</v>
      </c>
      <c r="D8" s="22" t="s">
        <v>111</v>
      </c>
      <c r="E8" s="22" t="s">
        <v>114</v>
      </c>
      <c r="F8" s="29"/>
      <c r="G8" s="8" t="s">
        <v>27</v>
      </c>
      <c r="H8" s="9"/>
      <c r="I8" s="8"/>
      <c r="J8" s="22" t="s">
        <v>113</v>
      </c>
    </row>
    <row r="9" spans="1:10" ht="25.5" x14ac:dyDescent="0.25">
      <c r="A9" s="22" t="s">
        <v>108</v>
      </c>
      <c r="B9" s="22" t="s">
        <v>109</v>
      </c>
      <c r="C9" s="22" t="s">
        <v>110</v>
      </c>
      <c r="D9" s="22" t="s">
        <v>111</v>
      </c>
      <c r="E9" s="22" t="s">
        <v>115</v>
      </c>
      <c r="F9" s="29"/>
      <c r="G9" s="8" t="s">
        <v>27</v>
      </c>
      <c r="H9" s="9"/>
      <c r="I9" s="8"/>
      <c r="J9" s="22" t="s">
        <v>113</v>
      </c>
    </row>
    <row r="10" spans="1:10" ht="25.5" x14ac:dyDescent="0.25">
      <c r="A10" s="22" t="s">
        <v>108</v>
      </c>
      <c r="B10" s="22" t="s">
        <v>109</v>
      </c>
      <c r="C10" s="22" t="s">
        <v>110</v>
      </c>
      <c r="D10" s="22" t="s">
        <v>111</v>
      </c>
      <c r="E10" s="22" t="s">
        <v>116</v>
      </c>
      <c r="F10" s="29"/>
      <c r="G10" s="8" t="s">
        <v>27</v>
      </c>
      <c r="H10" s="9"/>
      <c r="I10" s="8"/>
      <c r="J10" s="22" t="s">
        <v>113</v>
      </c>
    </row>
    <row r="11" spans="1:10" ht="25.5" x14ac:dyDescent="0.25">
      <c r="A11" s="22" t="s">
        <v>108</v>
      </c>
      <c r="B11" s="22" t="s">
        <v>109</v>
      </c>
      <c r="C11" s="22" t="s">
        <v>110</v>
      </c>
      <c r="D11" s="22" t="s">
        <v>111</v>
      </c>
      <c r="E11" s="22" t="s">
        <v>117</v>
      </c>
      <c r="F11" s="29"/>
      <c r="G11" s="8" t="s">
        <v>27</v>
      </c>
      <c r="H11" s="9"/>
      <c r="I11" s="8"/>
      <c r="J11" s="22" t="s">
        <v>113</v>
      </c>
    </row>
    <row r="12" spans="1:10" ht="25.5" x14ac:dyDescent="0.25">
      <c r="A12" s="22" t="s">
        <v>108</v>
      </c>
      <c r="B12" s="22" t="s">
        <v>109</v>
      </c>
      <c r="C12" s="22" t="s">
        <v>110</v>
      </c>
      <c r="D12" s="22" t="s">
        <v>111</v>
      </c>
      <c r="E12" s="22" t="s">
        <v>118</v>
      </c>
      <c r="F12" s="29"/>
      <c r="G12" s="8" t="s">
        <v>27</v>
      </c>
      <c r="H12" s="9"/>
      <c r="I12" s="8"/>
      <c r="J12" s="22" t="s">
        <v>113</v>
      </c>
    </row>
    <row r="13" spans="1:10" ht="25.5" x14ac:dyDescent="0.25">
      <c r="A13" s="22" t="s">
        <v>108</v>
      </c>
      <c r="B13" s="22" t="s">
        <v>109</v>
      </c>
      <c r="C13" s="22" t="s">
        <v>110</v>
      </c>
      <c r="D13" s="22" t="s">
        <v>111</v>
      </c>
      <c r="E13" s="22" t="s">
        <v>26</v>
      </c>
      <c r="F13" s="29"/>
      <c r="G13" s="8" t="s">
        <v>27</v>
      </c>
      <c r="H13" s="9"/>
      <c r="I13" s="8"/>
      <c r="J13" s="22" t="s">
        <v>113</v>
      </c>
    </row>
    <row r="14" spans="1:10" ht="25.5" x14ac:dyDescent="0.25">
      <c r="A14" s="22" t="s">
        <v>119</v>
      </c>
      <c r="B14" s="22" t="s">
        <v>120</v>
      </c>
      <c r="C14" s="22" t="s">
        <v>121</v>
      </c>
      <c r="D14" s="22" t="s">
        <v>111</v>
      </c>
      <c r="E14" s="22" t="s">
        <v>122</v>
      </c>
      <c r="F14" s="29"/>
      <c r="G14" s="8" t="s">
        <v>51</v>
      </c>
      <c r="H14" s="9"/>
      <c r="I14" s="8"/>
      <c r="J14" s="22" t="s">
        <v>123</v>
      </c>
    </row>
    <row r="15" spans="1:10" x14ac:dyDescent="0.25">
      <c r="A15" s="27" t="s">
        <v>124</v>
      </c>
      <c r="B15" s="28"/>
      <c r="C15" s="28"/>
      <c r="D15" s="28"/>
      <c r="E15" s="28"/>
      <c r="F15" s="28"/>
      <c r="G15" s="28"/>
      <c r="H15" s="28"/>
      <c r="I15" s="28"/>
      <c r="J15" s="28"/>
    </row>
    <row r="16" spans="1:10" ht="25.5" x14ac:dyDescent="0.25">
      <c r="A16" s="22" t="s">
        <v>125</v>
      </c>
      <c r="B16" s="22" t="s">
        <v>126</v>
      </c>
      <c r="C16" s="22"/>
      <c r="D16" s="22" t="s">
        <v>111</v>
      </c>
      <c r="E16" s="22" t="s">
        <v>26</v>
      </c>
      <c r="F16" s="29"/>
      <c r="G16" s="8" t="s">
        <v>27</v>
      </c>
      <c r="H16" s="9"/>
      <c r="I16" s="8"/>
      <c r="J16" s="22" t="s">
        <v>113</v>
      </c>
    </row>
    <row r="17" spans="1:10" ht="25.5" x14ac:dyDescent="0.25">
      <c r="A17" s="22" t="s">
        <v>127</v>
      </c>
      <c r="B17" s="22" t="s">
        <v>128</v>
      </c>
      <c r="C17" s="22"/>
      <c r="D17" s="22" t="s">
        <v>111</v>
      </c>
      <c r="E17" s="22" t="s">
        <v>26</v>
      </c>
      <c r="F17" s="29"/>
      <c r="G17" s="8" t="s">
        <v>27</v>
      </c>
      <c r="H17" s="9"/>
      <c r="I17" s="8"/>
      <c r="J17" s="22" t="s">
        <v>113</v>
      </c>
    </row>
    <row r="18" spans="1:10" ht="25.5" x14ac:dyDescent="0.25">
      <c r="A18" s="22" t="s">
        <v>129</v>
      </c>
      <c r="B18" s="22" t="s">
        <v>130</v>
      </c>
      <c r="C18" s="22"/>
      <c r="D18" s="22" t="s">
        <v>111</v>
      </c>
      <c r="E18" s="22" t="s">
        <v>26</v>
      </c>
      <c r="F18" s="29"/>
      <c r="G18" s="8" t="s">
        <v>27</v>
      </c>
      <c r="H18" s="9"/>
      <c r="I18" s="8"/>
      <c r="J18" s="22" t="s">
        <v>113</v>
      </c>
    </row>
    <row r="19" spans="1:10" ht="25.5" x14ac:dyDescent="0.25">
      <c r="A19" s="22" t="s">
        <v>131</v>
      </c>
      <c r="B19" s="22" t="s">
        <v>132</v>
      </c>
      <c r="C19" s="22"/>
      <c r="D19" s="22" t="s">
        <v>111</v>
      </c>
      <c r="E19" s="22" t="s">
        <v>26</v>
      </c>
      <c r="F19" s="29"/>
      <c r="G19" s="8" t="s">
        <v>27</v>
      </c>
      <c r="H19" s="9"/>
      <c r="I19" s="8"/>
      <c r="J19" s="22" t="s">
        <v>113</v>
      </c>
    </row>
    <row r="20" spans="1:10" ht="38.25" x14ac:dyDescent="0.25">
      <c r="A20" s="22" t="s">
        <v>133</v>
      </c>
      <c r="B20" s="22" t="s">
        <v>134</v>
      </c>
      <c r="C20" s="22" t="s">
        <v>135</v>
      </c>
      <c r="D20" s="22" t="s">
        <v>136</v>
      </c>
      <c r="E20" s="22" t="s">
        <v>26</v>
      </c>
      <c r="F20" s="30"/>
      <c r="G20" s="8" t="s">
        <v>27</v>
      </c>
      <c r="H20" s="9"/>
      <c r="I20" s="8"/>
      <c r="J20" s="22" t="s">
        <v>113</v>
      </c>
    </row>
    <row r="21" spans="1:10" ht="25.5" x14ac:dyDescent="0.25">
      <c r="A21" s="22" t="s">
        <v>137</v>
      </c>
      <c r="B21" s="22" t="s">
        <v>138</v>
      </c>
      <c r="C21" s="22" t="s">
        <v>139</v>
      </c>
      <c r="D21" s="22" t="s">
        <v>136</v>
      </c>
      <c r="E21" s="22" t="s">
        <v>26</v>
      </c>
      <c r="F21" s="30"/>
      <c r="G21" s="8" t="s">
        <v>27</v>
      </c>
      <c r="H21" s="9"/>
      <c r="I21" s="8"/>
      <c r="J21" s="22" t="s">
        <v>113</v>
      </c>
    </row>
    <row r="22" spans="1:10" ht="25.5" x14ac:dyDescent="0.25">
      <c r="A22" s="22" t="s">
        <v>140</v>
      </c>
      <c r="B22" s="22" t="s">
        <v>141</v>
      </c>
      <c r="C22" s="22" t="s">
        <v>142</v>
      </c>
      <c r="D22" s="22" t="s">
        <v>111</v>
      </c>
      <c r="E22" s="22" t="s">
        <v>26</v>
      </c>
      <c r="F22" s="29"/>
      <c r="G22" s="8" t="s">
        <v>143</v>
      </c>
      <c r="H22" s="9"/>
      <c r="I22" s="8"/>
      <c r="J22" s="22" t="s">
        <v>113</v>
      </c>
    </row>
    <row r="23" spans="1:10" ht="25.5" x14ac:dyDescent="0.25">
      <c r="A23" s="22" t="s">
        <v>144</v>
      </c>
      <c r="B23" s="22" t="s">
        <v>25</v>
      </c>
      <c r="C23" s="22" t="s">
        <v>145</v>
      </c>
      <c r="D23" s="22" t="s">
        <v>136</v>
      </c>
      <c r="E23" s="22" t="s">
        <v>26</v>
      </c>
      <c r="F23" s="30"/>
      <c r="G23" s="8" t="s">
        <v>27</v>
      </c>
      <c r="H23" s="9"/>
      <c r="I23" s="8"/>
      <c r="J23" s="22" t="s">
        <v>113</v>
      </c>
    </row>
    <row r="24" spans="1:10" x14ac:dyDescent="0.25">
      <c r="A24" s="22" t="s">
        <v>146</v>
      </c>
      <c r="B24" s="22" t="s">
        <v>147</v>
      </c>
      <c r="C24" s="22"/>
      <c r="D24" s="22" t="s">
        <v>136</v>
      </c>
      <c r="E24" s="22" t="s">
        <v>26</v>
      </c>
      <c r="F24" s="30"/>
      <c r="G24" s="8" t="s">
        <v>143</v>
      </c>
      <c r="H24" s="9"/>
      <c r="I24" s="8"/>
      <c r="J24" s="22" t="s">
        <v>113</v>
      </c>
    </row>
    <row r="25" spans="1:10" ht="25.5" x14ac:dyDescent="0.25">
      <c r="A25" s="22" t="s">
        <v>148</v>
      </c>
      <c r="B25" s="22" t="s">
        <v>149</v>
      </c>
      <c r="C25" s="22" t="s">
        <v>150</v>
      </c>
      <c r="D25" s="22" t="s">
        <v>136</v>
      </c>
      <c r="E25" s="22" t="s">
        <v>26</v>
      </c>
      <c r="F25" s="30"/>
      <c r="G25" s="8" t="s">
        <v>27</v>
      </c>
      <c r="H25" s="9"/>
      <c r="I25" s="8"/>
      <c r="J25" s="22" t="s">
        <v>113</v>
      </c>
    </row>
    <row r="26" spans="1:10" ht="25.5" x14ac:dyDescent="0.25">
      <c r="A26" s="22" t="s">
        <v>151</v>
      </c>
      <c r="B26" s="22" t="s">
        <v>152</v>
      </c>
      <c r="C26" s="22" t="s">
        <v>153</v>
      </c>
      <c r="D26" s="22" t="s">
        <v>111</v>
      </c>
      <c r="E26" s="22" t="s">
        <v>26</v>
      </c>
      <c r="F26" s="29"/>
      <c r="G26" s="8" t="s">
        <v>143</v>
      </c>
      <c r="H26" s="9"/>
      <c r="I26" s="8"/>
      <c r="J26" s="22" t="s">
        <v>113</v>
      </c>
    </row>
    <row r="27" spans="1:10" x14ac:dyDescent="0.25">
      <c r="A27" s="27" t="s">
        <v>154</v>
      </c>
      <c r="B27" s="28"/>
      <c r="C27" s="28"/>
      <c r="D27" s="28"/>
      <c r="E27" s="28"/>
      <c r="F27" s="28"/>
      <c r="G27" s="28"/>
      <c r="H27" s="28"/>
      <c r="I27" s="28"/>
      <c r="J27" s="28"/>
    </row>
    <row r="28" spans="1:10" ht="25.5" x14ac:dyDescent="0.25">
      <c r="A28" s="22" t="s">
        <v>155</v>
      </c>
      <c r="B28" s="22" t="s">
        <v>156</v>
      </c>
      <c r="C28" s="22" t="s">
        <v>157</v>
      </c>
      <c r="D28" s="22" t="s">
        <v>111</v>
      </c>
      <c r="E28" s="22" t="s">
        <v>26</v>
      </c>
      <c r="F28" s="31" t="str">
        <f>IF(COUNT(F29:F32)=0,"",SUM(F29:F32))</f>
        <v/>
      </c>
      <c r="G28" s="8" t="s">
        <v>14</v>
      </c>
      <c r="H28" s="9"/>
      <c r="I28" s="8"/>
      <c r="J28" s="22" t="s">
        <v>113</v>
      </c>
    </row>
    <row r="29" spans="1:10" ht="38.25" x14ac:dyDescent="0.25">
      <c r="A29" s="22" t="s">
        <v>158</v>
      </c>
      <c r="B29" s="22" t="s">
        <v>159</v>
      </c>
      <c r="C29" s="22" t="s">
        <v>160</v>
      </c>
      <c r="D29" s="22" t="s">
        <v>111</v>
      </c>
      <c r="E29" s="22" t="s">
        <v>26</v>
      </c>
      <c r="F29" s="29"/>
      <c r="G29" s="8" t="s">
        <v>143</v>
      </c>
      <c r="H29" s="9"/>
      <c r="I29" s="8"/>
      <c r="J29" s="22" t="s">
        <v>113</v>
      </c>
    </row>
    <row r="30" spans="1:10" x14ac:dyDescent="0.25">
      <c r="A30" s="22" t="s">
        <v>161</v>
      </c>
      <c r="B30" s="22" t="s">
        <v>162</v>
      </c>
      <c r="C30" s="22" t="s">
        <v>163</v>
      </c>
      <c r="D30" s="22" t="s">
        <v>111</v>
      </c>
      <c r="E30" s="22" t="s">
        <v>26</v>
      </c>
      <c r="F30" s="29"/>
      <c r="G30" s="8" t="s">
        <v>143</v>
      </c>
      <c r="H30" s="9"/>
      <c r="I30" s="8"/>
      <c r="J30" s="22" t="s">
        <v>113</v>
      </c>
    </row>
    <row r="31" spans="1:10" x14ac:dyDescent="0.25">
      <c r="A31" s="22" t="s">
        <v>164</v>
      </c>
      <c r="B31" s="22" t="s">
        <v>165</v>
      </c>
      <c r="C31" s="22" t="s">
        <v>163</v>
      </c>
      <c r="D31" s="22" t="s">
        <v>111</v>
      </c>
      <c r="E31" s="22" t="s">
        <v>26</v>
      </c>
      <c r="F31" s="29"/>
      <c r="G31" s="8" t="s">
        <v>143</v>
      </c>
      <c r="H31" s="9"/>
      <c r="I31" s="8"/>
      <c r="J31" s="22" t="s">
        <v>113</v>
      </c>
    </row>
    <row r="32" spans="1:10" x14ac:dyDescent="0.25">
      <c r="A32" s="22" t="s">
        <v>166</v>
      </c>
      <c r="B32" s="22" t="s">
        <v>167</v>
      </c>
      <c r="C32" s="22" t="s">
        <v>168</v>
      </c>
      <c r="D32" s="22" t="s">
        <v>111</v>
      </c>
      <c r="E32" s="22" t="s">
        <v>26</v>
      </c>
      <c r="F32" s="29"/>
      <c r="G32" s="8" t="s">
        <v>143</v>
      </c>
      <c r="H32" s="9"/>
      <c r="I32" s="8"/>
      <c r="J32" s="22" t="s">
        <v>113</v>
      </c>
    </row>
    <row r="33" spans="1:10" ht="25.5" x14ac:dyDescent="0.25">
      <c r="A33" s="22" t="s">
        <v>169</v>
      </c>
      <c r="B33" s="22" t="s">
        <v>170</v>
      </c>
      <c r="C33" s="22" t="s">
        <v>157</v>
      </c>
      <c r="D33" s="22" t="s">
        <v>111</v>
      </c>
      <c r="E33" s="22" t="s">
        <v>26</v>
      </c>
      <c r="F33" s="31" t="str">
        <f>IF(COUNT(F34:F37)=0,"",SUM(F34:F37))</f>
        <v/>
      </c>
      <c r="G33" s="8" t="s">
        <v>14</v>
      </c>
      <c r="H33" s="9"/>
      <c r="I33" s="8"/>
      <c r="J33" s="22" t="s">
        <v>113</v>
      </c>
    </row>
    <row r="34" spans="1:10" ht="38.25" x14ac:dyDescent="0.25">
      <c r="A34" s="22" t="s">
        <v>171</v>
      </c>
      <c r="B34" s="22" t="s">
        <v>172</v>
      </c>
      <c r="C34" s="22" t="s">
        <v>173</v>
      </c>
      <c r="D34" s="22" t="s">
        <v>111</v>
      </c>
      <c r="E34" s="22" t="s">
        <v>26</v>
      </c>
      <c r="F34" s="29"/>
      <c r="G34" s="8" t="s">
        <v>143</v>
      </c>
      <c r="H34" s="9"/>
      <c r="I34" s="8"/>
      <c r="J34" s="22" t="s">
        <v>113</v>
      </c>
    </row>
    <row r="35" spans="1:10" x14ac:dyDescent="0.25">
      <c r="A35" s="22" t="s">
        <v>174</v>
      </c>
      <c r="B35" s="22" t="s">
        <v>175</v>
      </c>
      <c r="C35" s="22" t="s">
        <v>163</v>
      </c>
      <c r="D35" s="22" t="s">
        <v>111</v>
      </c>
      <c r="E35" s="22" t="s">
        <v>26</v>
      </c>
      <c r="F35" s="29"/>
      <c r="G35" s="8" t="s">
        <v>143</v>
      </c>
      <c r="H35" s="9"/>
      <c r="I35" s="8"/>
      <c r="J35" s="22" t="s">
        <v>113</v>
      </c>
    </row>
    <row r="36" spans="1:10" x14ac:dyDescent="0.25">
      <c r="A36" s="22" t="s">
        <v>176</v>
      </c>
      <c r="B36" s="22" t="s">
        <v>177</v>
      </c>
      <c r="C36" s="22" t="s">
        <v>163</v>
      </c>
      <c r="D36" s="22" t="s">
        <v>111</v>
      </c>
      <c r="E36" s="22" t="s">
        <v>26</v>
      </c>
      <c r="F36" s="29"/>
      <c r="G36" s="8" t="s">
        <v>143</v>
      </c>
      <c r="H36" s="9"/>
      <c r="I36" s="8"/>
      <c r="J36" s="22" t="s">
        <v>113</v>
      </c>
    </row>
    <row r="37" spans="1:10" ht="25.5" x14ac:dyDescent="0.25">
      <c r="A37" s="22" t="s">
        <v>178</v>
      </c>
      <c r="B37" s="22" t="s">
        <v>179</v>
      </c>
      <c r="C37" s="22" t="s">
        <v>168</v>
      </c>
      <c r="D37" s="22" t="s">
        <v>111</v>
      </c>
      <c r="E37" s="22" t="s">
        <v>26</v>
      </c>
      <c r="F37" s="29"/>
      <c r="G37" s="8" t="s">
        <v>143</v>
      </c>
      <c r="H37" s="9"/>
      <c r="I37" s="8"/>
      <c r="J37" s="22" t="s">
        <v>113</v>
      </c>
    </row>
  </sheetData>
  <autoFilter ref="A5:J37" xr:uid="{00000000-0009-0000-0000-000002000000}"/>
  <dataValidations count="1">
    <dataValidation type="decimal" allowBlank="1" showErrorMessage="1" errorTitle="Enter a decimal" error="Percentages are entered as decimals between 0 and 1 (e.g., 0.42 for 42%)." sqref="F20:F21 F23:F25" xr:uid="{00000000-0002-0000-0200-000000000000}">
      <formula1>0</formula1>
      <formula2>1</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25"/>
  <sheetViews>
    <sheetView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5" x14ac:dyDescent="0.25"/>
  <cols>
    <col min="1" max="1" width="7" customWidth="1"/>
    <col min="2" max="2" width="34" customWidth="1"/>
    <col min="3" max="3" width="42" customWidth="1"/>
    <col min="4" max="5" width="9" customWidth="1"/>
    <col min="6" max="6" width="15" customWidth="1"/>
    <col min="7" max="7" width="26" customWidth="1"/>
    <col min="8" max="8" width="12" customWidth="1"/>
    <col min="9" max="9" width="40" customWidth="1"/>
    <col min="10" max="10" width="8" customWidth="1"/>
  </cols>
  <sheetData>
    <row r="1" spans="1:10" ht="18" x14ac:dyDescent="0.25">
      <c r="A1" s="18" t="s">
        <v>180</v>
      </c>
    </row>
    <row r="2" spans="1:10" x14ac:dyDescent="0.25">
      <c r="A2" s="19" t="s">
        <v>101</v>
      </c>
    </row>
    <row r="3" spans="1:10"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0" ht="39.75" customHeight="1" x14ac:dyDescent="0.25">
      <c r="A5" s="21" t="s">
        <v>34</v>
      </c>
      <c r="B5" s="21" t="s">
        <v>18</v>
      </c>
      <c r="C5" s="21" t="s">
        <v>102</v>
      </c>
      <c r="D5" s="21" t="s">
        <v>103</v>
      </c>
      <c r="E5" s="21" t="s">
        <v>19</v>
      </c>
      <c r="F5" s="21" t="s">
        <v>104</v>
      </c>
      <c r="G5" s="21" t="s">
        <v>22</v>
      </c>
      <c r="H5" s="21" t="s">
        <v>23</v>
      </c>
      <c r="I5" s="21" t="s">
        <v>105</v>
      </c>
      <c r="J5" s="21" t="s">
        <v>106</v>
      </c>
    </row>
    <row r="6" spans="1:10" x14ac:dyDescent="0.25">
      <c r="A6" s="27" t="s">
        <v>181</v>
      </c>
      <c r="B6" s="28"/>
      <c r="C6" s="28"/>
      <c r="D6" s="28"/>
      <c r="E6" s="28"/>
      <c r="F6" s="28"/>
      <c r="G6" s="28"/>
      <c r="H6" s="28"/>
      <c r="I6" s="28"/>
      <c r="J6" s="28"/>
    </row>
    <row r="7" spans="1:10" ht="25.5" x14ac:dyDescent="0.25">
      <c r="A7" s="22" t="s">
        <v>182</v>
      </c>
      <c r="B7" s="22" t="s">
        <v>183</v>
      </c>
      <c r="C7" s="22" t="s">
        <v>184</v>
      </c>
      <c r="D7" s="22" t="s">
        <v>136</v>
      </c>
      <c r="E7" s="22" t="s">
        <v>118</v>
      </c>
      <c r="F7" s="30"/>
      <c r="G7" s="8" t="s">
        <v>27</v>
      </c>
      <c r="H7" s="9"/>
      <c r="I7" s="8"/>
      <c r="J7" s="22" t="s">
        <v>113</v>
      </c>
    </row>
    <row r="8" spans="1:10" ht="25.5" x14ac:dyDescent="0.25">
      <c r="A8" s="22" t="s">
        <v>185</v>
      </c>
      <c r="B8" s="22" t="s">
        <v>186</v>
      </c>
      <c r="C8" s="22"/>
      <c r="D8" s="22" t="s">
        <v>136</v>
      </c>
      <c r="E8" s="22" t="s">
        <v>118</v>
      </c>
      <c r="F8" s="30"/>
      <c r="G8" s="8" t="s">
        <v>27</v>
      </c>
      <c r="H8" s="9"/>
      <c r="I8" s="8"/>
      <c r="J8" s="22" t="s">
        <v>113</v>
      </c>
    </row>
    <row r="9" spans="1:10" ht="25.5" x14ac:dyDescent="0.25">
      <c r="A9" s="22" t="s">
        <v>187</v>
      </c>
      <c r="B9" s="22" t="s">
        <v>188</v>
      </c>
      <c r="C9" s="22"/>
      <c r="D9" s="22" t="s">
        <v>136</v>
      </c>
      <c r="E9" s="22" t="s">
        <v>118</v>
      </c>
      <c r="F9" s="30"/>
      <c r="G9" s="8" t="s">
        <v>27</v>
      </c>
      <c r="H9" s="9"/>
      <c r="I9" s="8"/>
      <c r="J9" s="22" t="s">
        <v>113</v>
      </c>
    </row>
    <row r="10" spans="1:10" ht="25.5" x14ac:dyDescent="0.25">
      <c r="A10" s="22" t="s">
        <v>189</v>
      </c>
      <c r="B10" s="22" t="s">
        <v>190</v>
      </c>
      <c r="C10" s="22"/>
      <c r="D10" s="22" t="s">
        <v>136</v>
      </c>
      <c r="E10" s="22" t="s">
        <v>118</v>
      </c>
      <c r="F10" s="30"/>
      <c r="G10" s="8" t="s">
        <v>27</v>
      </c>
      <c r="H10" s="9"/>
      <c r="I10" s="8"/>
      <c r="J10" s="22" t="s">
        <v>113</v>
      </c>
    </row>
    <row r="11" spans="1:10" ht="25.5" x14ac:dyDescent="0.25">
      <c r="A11" s="22" t="s">
        <v>191</v>
      </c>
      <c r="B11" s="22" t="s">
        <v>192</v>
      </c>
      <c r="C11" s="22"/>
      <c r="D11" s="22" t="s">
        <v>136</v>
      </c>
      <c r="E11" s="22" t="s">
        <v>118</v>
      </c>
      <c r="F11" s="30"/>
      <c r="G11" s="8" t="s">
        <v>27</v>
      </c>
      <c r="H11" s="9"/>
      <c r="I11" s="8"/>
      <c r="J11" s="22" t="s">
        <v>113</v>
      </c>
    </row>
    <row r="12" spans="1:10" x14ac:dyDescent="0.25">
      <c r="A12" s="27" t="s">
        <v>193</v>
      </c>
      <c r="B12" s="28"/>
      <c r="C12" s="28"/>
      <c r="D12" s="28"/>
      <c r="E12" s="28"/>
      <c r="F12" s="28"/>
      <c r="G12" s="28"/>
      <c r="H12" s="28"/>
      <c r="I12" s="28"/>
      <c r="J12" s="28"/>
    </row>
    <row r="13" spans="1:10" ht="25.5" x14ac:dyDescent="0.25">
      <c r="A13" s="22" t="s">
        <v>194</v>
      </c>
      <c r="B13" s="22" t="s">
        <v>195</v>
      </c>
      <c r="C13" s="22" t="s">
        <v>196</v>
      </c>
      <c r="D13" s="22" t="s">
        <v>136</v>
      </c>
      <c r="E13" s="22" t="s">
        <v>117</v>
      </c>
      <c r="F13" s="30"/>
      <c r="G13" s="8" t="s">
        <v>27</v>
      </c>
      <c r="H13" s="9"/>
      <c r="I13" s="8"/>
      <c r="J13" s="22" t="s">
        <v>113</v>
      </c>
    </row>
    <row r="14" spans="1:10" ht="25.5" x14ac:dyDescent="0.25">
      <c r="A14" s="22" t="s">
        <v>194</v>
      </c>
      <c r="B14" s="22" t="s">
        <v>195</v>
      </c>
      <c r="C14" s="22" t="s">
        <v>196</v>
      </c>
      <c r="D14" s="22" t="s">
        <v>136</v>
      </c>
      <c r="E14" s="22" t="s">
        <v>118</v>
      </c>
      <c r="F14" s="30"/>
      <c r="G14" s="8" t="s">
        <v>27</v>
      </c>
      <c r="H14" s="9"/>
      <c r="I14" s="8"/>
      <c r="J14" s="22" t="s">
        <v>113</v>
      </c>
    </row>
    <row r="15" spans="1:10" ht="25.5" x14ac:dyDescent="0.25">
      <c r="A15" s="22" t="s">
        <v>197</v>
      </c>
      <c r="B15" s="22" t="s">
        <v>198</v>
      </c>
      <c r="C15" s="22"/>
      <c r="D15" s="22" t="s">
        <v>136</v>
      </c>
      <c r="E15" s="22" t="s">
        <v>117</v>
      </c>
      <c r="F15" s="30"/>
      <c r="G15" s="8" t="s">
        <v>27</v>
      </c>
      <c r="H15" s="9"/>
      <c r="I15" s="8"/>
      <c r="J15" s="22" t="s">
        <v>113</v>
      </c>
    </row>
    <row r="16" spans="1:10" ht="25.5" x14ac:dyDescent="0.25">
      <c r="A16" s="22" t="s">
        <v>197</v>
      </c>
      <c r="B16" s="22" t="s">
        <v>198</v>
      </c>
      <c r="C16" s="22"/>
      <c r="D16" s="22" t="s">
        <v>136</v>
      </c>
      <c r="E16" s="22" t="s">
        <v>118</v>
      </c>
      <c r="F16" s="30"/>
      <c r="G16" s="8" t="s">
        <v>27</v>
      </c>
      <c r="H16" s="9"/>
      <c r="I16" s="8"/>
      <c r="J16" s="22" t="s">
        <v>113</v>
      </c>
    </row>
    <row r="17" spans="1:10" ht="25.5" x14ac:dyDescent="0.25">
      <c r="A17" s="22" t="s">
        <v>199</v>
      </c>
      <c r="B17" s="22" t="s">
        <v>200</v>
      </c>
      <c r="C17" s="22"/>
      <c r="D17" s="22" t="s">
        <v>136</v>
      </c>
      <c r="E17" s="22" t="s">
        <v>117</v>
      </c>
      <c r="F17" s="30"/>
      <c r="G17" s="8" t="s">
        <v>27</v>
      </c>
      <c r="H17" s="9"/>
      <c r="I17" s="8"/>
      <c r="J17" s="22" t="s">
        <v>113</v>
      </c>
    </row>
    <row r="18" spans="1:10" ht="25.5" x14ac:dyDescent="0.25">
      <c r="A18" s="22" t="s">
        <v>199</v>
      </c>
      <c r="B18" s="22" t="s">
        <v>200</v>
      </c>
      <c r="C18" s="22"/>
      <c r="D18" s="22" t="s">
        <v>136</v>
      </c>
      <c r="E18" s="22" t="s">
        <v>118</v>
      </c>
      <c r="F18" s="30"/>
      <c r="G18" s="8" t="s">
        <v>27</v>
      </c>
      <c r="H18" s="9"/>
      <c r="I18" s="8"/>
      <c r="J18" s="22" t="s">
        <v>113</v>
      </c>
    </row>
    <row r="19" spans="1:10" x14ac:dyDescent="0.25">
      <c r="A19" s="27" t="s">
        <v>201</v>
      </c>
      <c r="B19" s="28"/>
      <c r="C19" s="28"/>
      <c r="D19" s="28"/>
      <c r="E19" s="28"/>
      <c r="F19" s="28"/>
      <c r="G19" s="28"/>
      <c r="H19" s="28"/>
      <c r="I19" s="28"/>
      <c r="J19" s="28"/>
    </row>
    <row r="20" spans="1:10" ht="25.5" x14ac:dyDescent="0.25">
      <c r="A20" s="22" t="s">
        <v>202</v>
      </c>
      <c r="B20" s="22" t="s">
        <v>203</v>
      </c>
      <c r="C20" s="22" t="s">
        <v>204</v>
      </c>
      <c r="D20" s="22" t="s">
        <v>111</v>
      </c>
      <c r="E20" s="22" t="s">
        <v>26</v>
      </c>
      <c r="F20" s="29"/>
      <c r="G20" s="8" t="s">
        <v>205</v>
      </c>
      <c r="H20" s="9"/>
      <c r="I20" s="8"/>
      <c r="J20" s="22" t="s">
        <v>113</v>
      </c>
    </row>
    <row r="21" spans="1:10" ht="25.5" x14ac:dyDescent="0.25">
      <c r="A21" s="22" t="s">
        <v>206</v>
      </c>
      <c r="B21" s="22" t="s">
        <v>207</v>
      </c>
      <c r="C21" s="22"/>
      <c r="D21" s="22" t="s">
        <v>111</v>
      </c>
      <c r="E21" s="22" t="s">
        <v>26</v>
      </c>
      <c r="F21" s="29"/>
      <c r="G21" s="8" t="s">
        <v>143</v>
      </c>
      <c r="H21" s="9"/>
      <c r="I21" s="8"/>
      <c r="J21" s="22" t="s">
        <v>113</v>
      </c>
    </row>
    <row r="22" spans="1:10" x14ac:dyDescent="0.25">
      <c r="A22" s="22" t="s">
        <v>208</v>
      </c>
      <c r="B22" s="22" t="s">
        <v>209</v>
      </c>
      <c r="C22" s="22"/>
      <c r="D22" s="22" t="s">
        <v>111</v>
      </c>
      <c r="E22" s="22" t="s">
        <v>26</v>
      </c>
      <c r="F22" s="29"/>
      <c r="G22" s="8" t="s">
        <v>143</v>
      </c>
      <c r="H22" s="9"/>
      <c r="I22" s="8"/>
      <c r="J22" s="22" t="s">
        <v>113</v>
      </c>
    </row>
    <row r="23" spans="1:10" ht="25.5" x14ac:dyDescent="0.25">
      <c r="A23" s="22" t="s">
        <v>210</v>
      </c>
      <c r="B23" s="22" t="s">
        <v>211</v>
      </c>
      <c r="C23" s="22"/>
      <c r="D23" s="22" t="s">
        <v>111</v>
      </c>
      <c r="E23" s="22" t="s">
        <v>26</v>
      </c>
      <c r="F23" s="29"/>
      <c r="G23" s="8" t="s">
        <v>143</v>
      </c>
      <c r="H23" s="9"/>
      <c r="I23" s="8"/>
      <c r="J23" s="22" t="s">
        <v>113</v>
      </c>
    </row>
    <row r="24" spans="1:10" ht="25.5" x14ac:dyDescent="0.25">
      <c r="A24" s="22" t="s">
        <v>212</v>
      </c>
      <c r="B24" s="22" t="s">
        <v>213</v>
      </c>
      <c r="C24" s="22" t="s">
        <v>214</v>
      </c>
      <c r="D24" s="22" t="s">
        <v>111</v>
      </c>
      <c r="E24" s="22" t="s">
        <v>26</v>
      </c>
      <c r="F24" s="29"/>
      <c r="G24" s="8" t="s">
        <v>215</v>
      </c>
      <c r="H24" s="9"/>
      <c r="I24" s="8"/>
      <c r="J24" s="22" t="s">
        <v>113</v>
      </c>
    </row>
    <row r="25" spans="1:10" ht="25.5" x14ac:dyDescent="0.25">
      <c r="A25" s="22" t="s">
        <v>216</v>
      </c>
      <c r="B25" s="22" t="s">
        <v>217</v>
      </c>
      <c r="C25" s="22"/>
      <c r="D25" s="22" t="s">
        <v>111</v>
      </c>
      <c r="E25" s="22" t="s">
        <v>26</v>
      </c>
      <c r="F25" s="29"/>
      <c r="G25" s="8" t="s">
        <v>143</v>
      </c>
      <c r="H25" s="9"/>
      <c r="I25" s="8"/>
      <c r="J25" s="22" t="s">
        <v>113</v>
      </c>
    </row>
  </sheetData>
  <autoFilter ref="A5:J25" xr:uid="{00000000-0009-0000-0000-000003000000}"/>
  <dataValidations count="1">
    <dataValidation type="decimal" allowBlank="1" showErrorMessage="1" errorTitle="Enter a decimal" error="Percentages are entered as decimals between 0 and 1 (e.g., 0.42 for 42%)." sqref="F7:F11 F13:F18" xr:uid="{00000000-0002-0000-0300-000000000000}">
      <formula1>0</formula1>
      <formula2>1</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9"/>
  <sheetViews>
    <sheetView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5" x14ac:dyDescent="0.25"/>
  <cols>
    <col min="1" max="1" width="7" customWidth="1"/>
    <col min="2" max="2" width="34" customWidth="1"/>
    <col min="3" max="3" width="42" customWidth="1"/>
    <col min="4" max="5" width="9" customWidth="1"/>
    <col min="6" max="6" width="15" customWidth="1"/>
    <col min="7" max="7" width="26" customWidth="1"/>
    <col min="8" max="8" width="12" customWidth="1"/>
    <col min="9" max="9" width="40" customWidth="1"/>
    <col min="10" max="10" width="8" customWidth="1"/>
  </cols>
  <sheetData>
    <row r="1" spans="1:10" ht="18" x14ac:dyDescent="0.25">
      <c r="A1" s="18" t="s">
        <v>218</v>
      </c>
    </row>
    <row r="2" spans="1:10" x14ac:dyDescent="0.25">
      <c r="A2" s="19" t="s">
        <v>219</v>
      </c>
    </row>
    <row r="3" spans="1:10"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0" ht="39.75" customHeight="1" x14ac:dyDescent="0.25">
      <c r="A5" s="21" t="s">
        <v>34</v>
      </c>
      <c r="B5" s="21" t="s">
        <v>18</v>
      </c>
      <c r="C5" s="21" t="s">
        <v>102</v>
      </c>
      <c r="D5" s="21" t="s">
        <v>103</v>
      </c>
      <c r="E5" s="21" t="s">
        <v>19</v>
      </c>
      <c r="F5" s="21" t="s">
        <v>104</v>
      </c>
      <c r="G5" s="21" t="s">
        <v>22</v>
      </c>
      <c r="H5" s="21" t="s">
        <v>23</v>
      </c>
      <c r="I5" s="21" t="s">
        <v>105</v>
      </c>
      <c r="J5" s="21" t="s">
        <v>106</v>
      </c>
    </row>
    <row r="6" spans="1:10" x14ac:dyDescent="0.25">
      <c r="A6" s="27" t="s">
        <v>220</v>
      </c>
      <c r="B6" s="28"/>
      <c r="C6" s="28"/>
      <c r="D6" s="28"/>
      <c r="E6" s="28"/>
      <c r="F6" s="28"/>
      <c r="G6" s="28"/>
      <c r="H6" s="28"/>
      <c r="I6" s="28"/>
      <c r="J6" s="28"/>
    </row>
    <row r="7" spans="1:10" x14ac:dyDescent="0.25">
      <c r="A7" s="22" t="s">
        <v>221</v>
      </c>
      <c r="B7" s="22" t="s">
        <v>222</v>
      </c>
      <c r="C7" s="22" t="s">
        <v>223</v>
      </c>
      <c r="D7" s="22" t="s">
        <v>224</v>
      </c>
      <c r="E7" s="22" t="s">
        <v>122</v>
      </c>
      <c r="F7" s="32"/>
      <c r="G7" s="8" t="s">
        <v>51</v>
      </c>
      <c r="H7" s="9"/>
      <c r="I7" s="8"/>
      <c r="J7" s="22" t="s">
        <v>225</v>
      </c>
    </row>
    <row r="8" spans="1:10" x14ac:dyDescent="0.25">
      <c r="A8" s="27" t="s">
        <v>226</v>
      </c>
      <c r="B8" s="28"/>
      <c r="C8" s="28"/>
      <c r="D8" s="28"/>
      <c r="E8" s="28"/>
      <c r="F8" s="28"/>
      <c r="G8" s="28"/>
      <c r="H8" s="28"/>
      <c r="I8" s="28"/>
      <c r="J8" s="28"/>
    </row>
    <row r="9" spans="1:10" x14ac:dyDescent="0.25">
      <c r="A9" s="22" t="s">
        <v>227</v>
      </c>
      <c r="B9" s="22" t="s">
        <v>228</v>
      </c>
      <c r="C9" s="22"/>
      <c r="D9" s="22" t="s">
        <v>229</v>
      </c>
      <c r="E9" s="22" t="s">
        <v>117</v>
      </c>
      <c r="F9" s="33"/>
      <c r="G9" s="8" t="s">
        <v>230</v>
      </c>
      <c r="H9" s="9"/>
      <c r="I9" s="8"/>
      <c r="J9" s="22" t="s">
        <v>225</v>
      </c>
    </row>
    <row r="10" spans="1:10" x14ac:dyDescent="0.25">
      <c r="A10" s="22" t="s">
        <v>227</v>
      </c>
      <c r="B10" s="22" t="s">
        <v>228</v>
      </c>
      <c r="C10" s="22"/>
      <c r="D10" s="22" t="s">
        <v>229</v>
      </c>
      <c r="E10" s="22" t="s">
        <v>118</v>
      </c>
      <c r="F10" s="33"/>
      <c r="G10" s="8" t="s">
        <v>230</v>
      </c>
      <c r="H10" s="9"/>
      <c r="I10" s="8"/>
      <c r="J10" s="22" t="s">
        <v>225</v>
      </c>
    </row>
    <row r="11" spans="1:10" x14ac:dyDescent="0.25">
      <c r="A11" s="22" t="s">
        <v>227</v>
      </c>
      <c r="B11" s="22" t="s">
        <v>228</v>
      </c>
      <c r="C11" s="22"/>
      <c r="D11" s="22" t="s">
        <v>229</v>
      </c>
      <c r="E11" s="22" t="s">
        <v>26</v>
      </c>
      <c r="F11" s="33"/>
      <c r="G11" s="8" t="s">
        <v>230</v>
      </c>
      <c r="H11" s="9"/>
      <c r="I11" s="8"/>
      <c r="J11" s="22" t="s">
        <v>225</v>
      </c>
    </row>
    <row r="12" spans="1:10" ht="25.5" x14ac:dyDescent="0.25">
      <c r="A12" s="22" t="s">
        <v>231</v>
      </c>
      <c r="B12" s="22" t="s">
        <v>232</v>
      </c>
      <c r="C12" s="22" t="s">
        <v>233</v>
      </c>
      <c r="D12" s="22" t="s">
        <v>229</v>
      </c>
      <c r="E12" s="22" t="s">
        <v>118</v>
      </c>
      <c r="F12" s="33"/>
      <c r="G12" s="8" t="s">
        <v>234</v>
      </c>
      <c r="H12" s="9"/>
      <c r="I12" s="8"/>
      <c r="J12" s="22" t="s">
        <v>225</v>
      </c>
    </row>
    <row r="13" spans="1:10" ht="25.5" x14ac:dyDescent="0.25">
      <c r="A13" s="22" t="s">
        <v>231</v>
      </c>
      <c r="B13" s="22" t="s">
        <v>232</v>
      </c>
      <c r="C13" s="22" t="s">
        <v>233</v>
      </c>
      <c r="D13" s="22" t="s">
        <v>229</v>
      </c>
      <c r="E13" s="22" t="s">
        <v>26</v>
      </c>
      <c r="F13" s="33"/>
      <c r="G13" s="8" t="s">
        <v>234</v>
      </c>
      <c r="H13" s="9"/>
      <c r="I13" s="8"/>
      <c r="J13" s="22" t="s">
        <v>225</v>
      </c>
    </row>
    <row r="14" spans="1:10" ht="25.5" x14ac:dyDescent="0.25">
      <c r="A14" s="22" t="s">
        <v>231</v>
      </c>
      <c r="B14" s="22" t="s">
        <v>232</v>
      </c>
      <c r="C14" s="22" t="s">
        <v>233</v>
      </c>
      <c r="D14" s="22" t="s">
        <v>229</v>
      </c>
      <c r="E14" s="22" t="s">
        <v>122</v>
      </c>
      <c r="F14" s="33"/>
      <c r="G14" s="8" t="s">
        <v>234</v>
      </c>
      <c r="H14" s="9"/>
      <c r="I14" s="8"/>
      <c r="J14" s="22" t="s">
        <v>225</v>
      </c>
    </row>
    <row r="15" spans="1:10" ht="25.5" x14ac:dyDescent="0.25">
      <c r="A15" s="22" t="s">
        <v>235</v>
      </c>
      <c r="B15" s="22" t="s">
        <v>236</v>
      </c>
      <c r="C15" s="22" t="s">
        <v>237</v>
      </c>
      <c r="D15" s="22" t="s">
        <v>229</v>
      </c>
      <c r="E15" s="22" t="s">
        <v>118</v>
      </c>
      <c r="F15" s="33"/>
      <c r="G15" s="8" t="s">
        <v>51</v>
      </c>
      <c r="H15" s="9"/>
      <c r="I15" s="8"/>
      <c r="J15" s="22" t="s">
        <v>225</v>
      </c>
    </row>
    <row r="16" spans="1:10" ht="25.5" x14ac:dyDescent="0.25">
      <c r="A16" s="22" t="s">
        <v>235</v>
      </c>
      <c r="B16" s="22" t="s">
        <v>236</v>
      </c>
      <c r="C16" s="22" t="s">
        <v>237</v>
      </c>
      <c r="D16" s="22" t="s">
        <v>229</v>
      </c>
      <c r="E16" s="22" t="s">
        <v>26</v>
      </c>
      <c r="F16" s="33"/>
      <c r="G16" s="8" t="s">
        <v>51</v>
      </c>
      <c r="H16" s="9"/>
      <c r="I16" s="8"/>
      <c r="J16" s="22" t="s">
        <v>225</v>
      </c>
    </row>
    <row r="17" spans="1:10" ht="25.5" x14ac:dyDescent="0.25">
      <c r="A17" s="22" t="s">
        <v>235</v>
      </c>
      <c r="B17" s="22" t="s">
        <v>236</v>
      </c>
      <c r="C17" s="22" t="s">
        <v>237</v>
      </c>
      <c r="D17" s="22" t="s">
        <v>229</v>
      </c>
      <c r="E17" s="22" t="s">
        <v>122</v>
      </c>
      <c r="F17" s="33"/>
      <c r="G17" s="8" t="s">
        <v>51</v>
      </c>
      <c r="H17" s="9"/>
      <c r="I17" s="8"/>
      <c r="J17" s="22" t="s">
        <v>225</v>
      </c>
    </row>
    <row r="18" spans="1:10" x14ac:dyDescent="0.25">
      <c r="A18" s="22" t="s">
        <v>238</v>
      </c>
      <c r="B18" s="22" t="s">
        <v>239</v>
      </c>
      <c r="C18" s="22" t="s">
        <v>240</v>
      </c>
      <c r="D18" s="22" t="s">
        <v>229</v>
      </c>
      <c r="E18" s="22" t="s">
        <v>118</v>
      </c>
      <c r="F18" s="33"/>
      <c r="G18" s="8" t="s">
        <v>230</v>
      </c>
      <c r="H18" s="9"/>
      <c r="I18" s="8"/>
      <c r="J18" s="22" t="s">
        <v>225</v>
      </c>
    </row>
    <row r="19" spans="1:10" x14ac:dyDescent="0.25">
      <c r="A19" s="22" t="s">
        <v>241</v>
      </c>
      <c r="B19" s="22" t="s">
        <v>242</v>
      </c>
      <c r="C19" s="22"/>
      <c r="D19" s="22" t="s">
        <v>229</v>
      </c>
      <c r="E19" s="22" t="s">
        <v>118</v>
      </c>
      <c r="F19" s="33"/>
      <c r="G19" s="8" t="s">
        <v>230</v>
      </c>
      <c r="H19" s="9"/>
      <c r="I19" s="8"/>
      <c r="J19" s="22" t="s">
        <v>243</v>
      </c>
    </row>
    <row r="20" spans="1:10" x14ac:dyDescent="0.25">
      <c r="A20" s="22" t="s">
        <v>244</v>
      </c>
      <c r="B20" s="22" t="s">
        <v>245</v>
      </c>
      <c r="C20" s="22"/>
      <c r="D20" s="22" t="s">
        <v>229</v>
      </c>
      <c r="E20" s="22" t="s">
        <v>118</v>
      </c>
      <c r="F20" s="33"/>
      <c r="G20" s="8" t="s">
        <v>230</v>
      </c>
      <c r="H20" s="9"/>
      <c r="I20" s="8"/>
      <c r="J20" s="22" t="s">
        <v>225</v>
      </c>
    </row>
    <row r="21" spans="1:10" x14ac:dyDescent="0.25">
      <c r="A21" s="22" t="s">
        <v>246</v>
      </c>
      <c r="B21" s="22" t="s">
        <v>247</v>
      </c>
      <c r="C21" s="22"/>
      <c r="D21" s="22" t="s">
        <v>229</v>
      </c>
      <c r="E21" s="22" t="s">
        <v>118</v>
      </c>
      <c r="F21" s="33"/>
      <c r="G21" s="8" t="s">
        <v>230</v>
      </c>
      <c r="H21" s="9"/>
      <c r="I21" s="8"/>
      <c r="J21" s="22" t="s">
        <v>225</v>
      </c>
    </row>
    <row r="22" spans="1:10" x14ac:dyDescent="0.25">
      <c r="A22" s="22" t="s">
        <v>248</v>
      </c>
      <c r="B22" s="22" t="s">
        <v>249</v>
      </c>
      <c r="C22" s="22"/>
      <c r="D22" s="22" t="s">
        <v>229</v>
      </c>
      <c r="E22" s="22" t="s">
        <v>118</v>
      </c>
      <c r="F22" s="33"/>
      <c r="G22" s="8" t="s">
        <v>230</v>
      </c>
      <c r="H22" s="9"/>
      <c r="I22" s="8"/>
      <c r="J22" s="22" t="s">
        <v>225</v>
      </c>
    </row>
    <row r="23" spans="1:10" x14ac:dyDescent="0.25">
      <c r="A23" s="27" t="s">
        <v>250</v>
      </c>
      <c r="B23" s="28"/>
      <c r="C23" s="28"/>
      <c r="D23" s="28"/>
      <c r="E23" s="28"/>
      <c r="F23" s="28"/>
      <c r="G23" s="28"/>
      <c r="H23" s="28"/>
      <c r="I23" s="28"/>
      <c r="J23" s="28"/>
    </row>
    <row r="24" spans="1:10" ht="25.5" x14ac:dyDescent="0.25">
      <c r="A24" s="22" t="s">
        <v>251</v>
      </c>
      <c r="B24" s="22" t="s">
        <v>252</v>
      </c>
      <c r="C24" s="22"/>
      <c r="D24" s="22" t="s">
        <v>253</v>
      </c>
      <c r="E24" s="22" t="s">
        <v>26</v>
      </c>
      <c r="F24" s="34"/>
      <c r="G24" s="8" t="s">
        <v>254</v>
      </c>
      <c r="H24" s="9"/>
      <c r="I24" s="8"/>
      <c r="J24" s="22" t="s">
        <v>225</v>
      </c>
    </row>
    <row r="25" spans="1:10" ht="25.5" x14ac:dyDescent="0.25">
      <c r="A25" s="22" t="s">
        <v>251</v>
      </c>
      <c r="B25" s="22" t="s">
        <v>252</v>
      </c>
      <c r="C25" s="22"/>
      <c r="D25" s="22" t="s">
        <v>253</v>
      </c>
      <c r="E25" s="22" t="s">
        <v>122</v>
      </c>
      <c r="F25" s="34"/>
      <c r="G25" s="8" t="s">
        <v>254</v>
      </c>
      <c r="H25" s="9"/>
      <c r="I25" s="8"/>
      <c r="J25" s="22" t="s">
        <v>225</v>
      </c>
    </row>
    <row r="26" spans="1:10" x14ac:dyDescent="0.25">
      <c r="A26" s="22" t="s">
        <v>255</v>
      </c>
      <c r="B26" s="22" t="s">
        <v>256</v>
      </c>
      <c r="C26" s="22" t="s">
        <v>257</v>
      </c>
      <c r="D26" s="22" t="s">
        <v>136</v>
      </c>
      <c r="E26" s="22" t="s">
        <v>122</v>
      </c>
      <c r="F26" s="30"/>
      <c r="G26" s="8" t="s">
        <v>258</v>
      </c>
      <c r="H26" s="9"/>
      <c r="I26" s="8"/>
      <c r="J26" s="22" t="s">
        <v>225</v>
      </c>
    </row>
    <row r="27" spans="1:10" x14ac:dyDescent="0.25">
      <c r="A27" s="22" t="s">
        <v>259</v>
      </c>
      <c r="B27" s="22" t="s">
        <v>260</v>
      </c>
      <c r="C27" s="22" t="s">
        <v>261</v>
      </c>
      <c r="D27" s="22" t="s">
        <v>229</v>
      </c>
      <c r="E27" s="22" t="s">
        <v>118</v>
      </c>
      <c r="F27" s="33"/>
      <c r="G27" s="8" t="s">
        <v>262</v>
      </c>
      <c r="H27" s="9"/>
      <c r="I27" s="8"/>
      <c r="J27" s="22" t="s">
        <v>263</v>
      </c>
    </row>
    <row r="28" spans="1:10" x14ac:dyDescent="0.25">
      <c r="A28" s="22" t="s">
        <v>264</v>
      </c>
      <c r="B28" s="22" t="s">
        <v>265</v>
      </c>
      <c r="C28" s="22" t="s">
        <v>266</v>
      </c>
      <c r="D28" s="22" t="s">
        <v>229</v>
      </c>
      <c r="E28" s="22" t="s">
        <v>118</v>
      </c>
      <c r="F28" s="33"/>
      <c r="G28" s="8" t="s">
        <v>262</v>
      </c>
      <c r="H28" s="9"/>
      <c r="I28" s="8"/>
      <c r="J28" s="22" t="s">
        <v>263</v>
      </c>
    </row>
    <row r="29" spans="1:10" x14ac:dyDescent="0.25">
      <c r="A29" s="22" t="s">
        <v>267</v>
      </c>
      <c r="B29" s="22" t="s">
        <v>268</v>
      </c>
      <c r="C29" s="22" t="s">
        <v>269</v>
      </c>
      <c r="D29" s="22" t="s">
        <v>229</v>
      </c>
      <c r="E29" s="22" t="s">
        <v>118</v>
      </c>
      <c r="F29" s="33"/>
      <c r="G29" s="8" t="s">
        <v>230</v>
      </c>
      <c r="H29" s="9"/>
      <c r="I29" s="8"/>
      <c r="J29" s="22" t="s">
        <v>263</v>
      </c>
    </row>
  </sheetData>
  <autoFilter ref="A5:J29" xr:uid="{00000000-0009-0000-0000-000004000000}"/>
  <dataValidations count="1">
    <dataValidation type="decimal" allowBlank="1" showErrorMessage="1" errorTitle="Enter a decimal" error="Percentages are entered as decimals between 0 and 1 (e.g., 0.42 for 42%)." sqref="F26" xr:uid="{00000000-0002-0000-0400-000000000000}">
      <formula1>0</formula1>
      <formula2>1</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37"/>
  <sheetViews>
    <sheetView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5" x14ac:dyDescent="0.25"/>
  <cols>
    <col min="1" max="1" width="7" customWidth="1"/>
    <col min="2" max="2" width="34" customWidth="1"/>
    <col min="3" max="3" width="42" customWidth="1"/>
    <col min="4" max="5" width="9" customWidth="1"/>
    <col min="6" max="6" width="15" customWidth="1"/>
    <col min="7" max="7" width="26" customWidth="1"/>
    <col min="8" max="8" width="12" customWidth="1"/>
    <col min="9" max="9" width="40" customWidth="1"/>
    <col min="10" max="10" width="8" customWidth="1"/>
  </cols>
  <sheetData>
    <row r="1" spans="1:10" ht="18" x14ac:dyDescent="0.25">
      <c r="A1" s="18" t="s">
        <v>270</v>
      </c>
    </row>
    <row r="2" spans="1:10" x14ac:dyDescent="0.25">
      <c r="A2" s="19" t="s">
        <v>219</v>
      </c>
    </row>
    <row r="3" spans="1:10"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0" ht="39.75" customHeight="1" x14ac:dyDescent="0.25">
      <c r="A5" s="21" t="s">
        <v>34</v>
      </c>
      <c r="B5" s="21" t="s">
        <v>18</v>
      </c>
      <c r="C5" s="21" t="s">
        <v>102</v>
      </c>
      <c r="D5" s="21" t="s">
        <v>103</v>
      </c>
      <c r="E5" s="21" t="s">
        <v>19</v>
      </c>
      <c r="F5" s="21" t="s">
        <v>104</v>
      </c>
      <c r="G5" s="21" t="s">
        <v>22</v>
      </c>
      <c r="H5" s="21" t="s">
        <v>23</v>
      </c>
      <c r="I5" s="21" t="s">
        <v>105</v>
      </c>
      <c r="J5" s="21" t="s">
        <v>106</v>
      </c>
    </row>
    <row r="6" spans="1:10" x14ac:dyDescent="0.25">
      <c r="A6" s="27" t="s">
        <v>271</v>
      </c>
      <c r="B6" s="28"/>
      <c r="C6" s="28"/>
      <c r="D6" s="28"/>
      <c r="E6" s="28"/>
      <c r="F6" s="28"/>
      <c r="G6" s="28"/>
      <c r="H6" s="28"/>
      <c r="I6" s="28"/>
      <c r="J6" s="28"/>
    </row>
    <row r="7" spans="1:10" x14ac:dyDescent="0.25">
      <c r="A7" s="22" t="s">
        <v>272</v>
      </c>
      <c r="B7" s="22" t="s">
        <v>273</v>
      </c>
      <c r="C7" s="22" t="s">
        <v>274</v>
      </c>
      <c r="D7" s="22" t="s">
        <v>224</v>
      </c>
      <c r="E7" s="22" t="s">
        <v>112</v>
      </c>
      <c r="F7" s="32"/>
      <c r="G7" s="8" t="s">
        <v>275</v>
      </c>
      <c r="H7" s="9"/>
      <c r="I7" s="8"/>
      <c r="J7" s="22" t="s">
        <v>225</v>
      </c>
    </row>
    <row r="8" spans="1:10" x14ac:dyDescent="0.25">
      <c r="A8" s="22" t="s">
        <v>272</v>
      </c>
      <c r="B8" s="22" t="s">
        <v>273</v>
      </c>
      <c r="C8" s="22" t="s">
        <v>274</v>
      </c>
      <c r="D8" s="22" t="s">
        <v>224</v>
      </c>
      <c r="E8" s="22" t="s">
        <v>114</v>
      </c>
      <c r="F8" s="32"/>
      <c r="G8" s="8" t="s">
        <v>275</v>
      </c>
      <c r="H8" s="9"/>
      <c r="I8" s="8"/>
      <c r="J8" s="22" t="s">
        <v>225</v>
      </c>
    </row>
    <row r="9" spans="1:10" x14ac:dyDescent="0.25">
      <c r="A9" s="22" t="s">
        <v>272</v>
      </c>
      <c r="B9" s="22" t="s">
        <v>273</v>
      </c>
      <c r="C9" s="22" t="s">
        <v>274</v>
      </c>
      <c r="D9" s="22" t="s">
        <v>224</v>
      </c>
      <c r="E9" s="22" t="s">
        <v>115</v>
      </c>
      <c r="F9" s="32"/>
      <c r="G9" s="8" t="s">
        <v>275</v>
      </c>
      <c r="H9" s="9"/>
      <c r="I9" s="8"/>
      <c r="J9" s="22" t="s">
        <v>225</v>
      </c>
    </row>
    <row r="10" spans="1:10" x14ac:dyDescent="0.25">
      <c r="A10" s="22" t="s">
        <v>272</v>
      </c>
      <c r="B10" s="22" t="s">
        <v>273</v>
      </c>
      <c r="C10" s="22" t="s">
        <v>274</v>
      </c>
      <c r="D10" s="22" t="s">
        <v>224</v>
      </c>
      <c r="E10" s="22" t="s">
        <v>116</v>
      </c>
      <c r="F10" s="32"/>
      <c r="G10" s="8" t="s">
        <v>275</v>
      </c>
      <c r="H10" s="9"/>
      <c r="I10" s="8"/>
      <c r="J10" s="22" t="s">
        <v>225</v>
      </c>
    </row>
    <row r="11" spans="1:10" x14ac:dyDescent="0.25">
      <c r="A11" s="22" t="s">
        <v>272</v>
      </c>
      <c r="B11" s="22" t="s">
        <v>273</v>
      </c>
      <c r="C11" s="22" t="s">
        <v>274</v>
      </c>
      <c r="D11" s="22" t="s">
        <v>224</v>
      </c>
      <c r="E11" s="22" t="s">
        <v>117</v>
      </c>
      <c r="F11" s="32"/>
      <c r="G11" s="8" t="s">
        <v>275</v>
      </c>
      <c r="H11" s="9"/>
      <c r="I11" s="8"/>
      <c r="J11" s="22" t="s">
        <v>225</v>
      </c>
    </row>
    <row r="12" spans="1:10" x14ac:dyDescent="0.25">
      <c r="A12" s="22" t="s">
        <v>272</v>
      </c>
      <c r="B12" s="22" t="s">
        <v>273</v>
      </c>
      <c r="C12" s="22" t="s">
        <v>274</v>
      </c>
      <c r="D12" s="22" t="s">
        <v>224</v>
      </c>
      <c r="E12" s="22" t="s">
        <v>118</v>
      </c>
      <c r="F12" s="32"/>
      <c r="G12" s="8" t="s">
        <v>275</v>
      </c>
      <c r="H12" s="9"/>
      <c r="I12" s="8"/>
      <c r="J12" s="22" t="s">
        <v>225</v>
      </c>
    </row>
    <row r="13" spans="1:10" x14ac:dyDescent="0.25">
      <c r="A13" s="22" t="s">
        <v>272</v>
      </c>
      <c r="B13" s="22" t="s">
        <v>273</v>
      </c>
      <c r="C13" s="22" t="s">
        <v>274</v>
      </c>
      <c r="D13" s="22" t="s">
        <v>224</v>
      </c>
      <c r="E13" s="22" t="s">
        <v>26</v>
      </c>
      <c r="F13" s="32"/>
      <c r="G13" s="8" t="s">
        <v>275</v>
      </c>
      <c r="H13" s="9"/>
      <c r="I13" s="8"/>
      <c r="J13" s="22" t="s">
        <v>225</v>
      </c>
    </row>
    <row r="14" spans="1:10" x14ac:dyDescent="0.25">
      <c r="A14" s="22" t="s">
        <v>276</v>
      </c>
      <c r="B14" s="22" t="s">
        <v>277</v>
      </c>
      <c r="C14" s="22"/>
      <c r="D14" s="22" t="s">
        <v>224</v>
      </c>
      <c r="E14" s="22" t="s">
        <v>112</v>
      </c>
      <c r="F14" s="32"/>
      <c r="G14" s="8" t="s">
        <v>275</v>
      </c>
      <c r="H14" s="9"/>
      <c r="I14" s="8"/>
      <c r="J14" s="22" t="s">
        <v>225</v>
      </c>
    </row>
    <row r="15" spans="1:10" x14ac:dyDescent="0.25">
      <c r="A15" s="22" t="s">
        <v>276</v>
      </c>
      <c r="B15" s="22" t="s">
        <v>277</v>
      </c>
      <c r="C15" s="22"/>
      <c r="D15" s="22" t="s">
        <v>224</v>
      </c>
      <c r="E15" s="22" t="s">
        <v>114</v>
      </c>
      <c r="F15" s="32"/>
      <c r="G15" s="8" t="s">
        <v>275</v>
      </c>
      <c r="H15" s="9"/>
      <c r="I15" s="8"/>
      <c r="J15" s="22" t="s">
        <v>225</v>
      </c>
    </row>
    <row r="16" spans="1:10" x14ac:dyDescent="0.25">
      <c r="A16" s="22" t="s">
        <v>276</v>
      </c>
      <c r="B16" s="22" t="s">
        <v>277</v>
      </c>
      <c r="C16" s="22"/>
      <c r="D16" s="22" t="s">
        <v>224</v>
      </c>
      <c r="E16" s="22" t="s">
        <v>115</v>
      </c>
      <c r="F16" s="32"/>
      <c r="G16" s="8" t="s">
        <v>275</v>
      </c>
      <c r="H16" s="9"/>
      <c r="I16" s="8"/>
      <c r="J16" s="22" t="s">
        <v>225</v>
      </c>
    </row>
    <row r="17" spans="1:10" x14ac:dyDescent="0.25">
      <c r="A17" s="22" t="s">
        <v>276</v>
      </c>
      <c r="B17" s="22" t="s">
        <v>277</v>
      </c>
      <c r="C17" s="22"/>
      <c r="D17" s="22" t="s">
        <v>224</v>
      </c>
      <c r="E17" s="22" t="s">
        <v>116</v>
      </c>
      <c r="F17" s="32"/>
      <c r="G17" s="8" t="s">
        <v>275</v>
      </c>
      <c r="H17" s="9"/>
      <c r="I17" s="8"/>
      <c r="J17" s="22" t="s">
        <v>225</v>
      </c>
    </row>
    <row r="18" spans="1:10" x14ac:dyDescent="0.25">
      <c r="A18" s="22" t="s">
        <v>276</v>
      </c>
      <c r="B18" s="22" t="s">
        <v>277</v>
      </c>
      <c r="C18" s="22"/>
      <c r="D18" s="22" t="s">
        <v>224</v>
      </c>
      <c r="E18" s="22" t="s">
        <v>117</v>
      </c>
      <c r="F18" s="32"/>
      <c r="G18" s="8" t="s">
        <v>275</v>
      </c>
      <c r="H18" s="9"/>
      <c r="I18" s="8"/>
      <c r="J18" s="22" t="s">
        <v>225</v>
      </c>
    </row>
    <row r="19" spans="1:10" x14ac:dyDescent="0.25">
      <c r="A19" s="22" t="s">
        <v>276</v>
      </c>
      <c r="B19" s="22" t="s">
        <v>277</v>
      </c>
      <c r="C19" s="22"/>
      <c r="D19" s="22" t="s">
        <v>224</v>
      </c>
      <c r="E19" s="22" t="s">
        <v>118</v>
      </c>
      <c r="F19" s="32"/>
      <c r="G19" s="8" t="s">
        <v>275</v>
      </c>
      <c r="H19" s="9"/>
      <c r="I19" s="8"/>
      <c r="J19" s="22" t="s">
        <v>225</v>
      </c>
    </row>
    <row r="20" spans="1:10" x14ac:dyDescent="0.25">
      <c r="A20" s="22" t="s">
        <v>276</v>
      </c>
      <c r="B20" s="22" t="s">
        <v>277</v>
      </c>
      <c r="C20" s="22"/>
      <c r="D20" s="22" t="s">
        <v>224</v>
      </c>
      <c r="E20" s="22" t="s">
        <v>26</v>
      </c>
      <c r="F20" s="32"/>
      <c r="G20" s="8" t="s">
        <v>275</v>
      </c>
      <c r="H20" s="9"/>
      <c r="I20" s="8"/>
      <c r="J20" s="22" t="s">
        <v>225</v>
      </c>
    </row>
    <row r="21" spans="1:10" ht="25.5" x14ac:dyDescent="0.25">
      <c r="A21" s="22" t="s">
        <v>278</v>
      </c>
      <c r="B21" s="22" t="s">
        <v>279</v>
      </c>
      <c r="C21" s="22" t="s">
        <v>280</v>
      </c>
      <c r="D21" s="22" t="s">
        <v>224</v>
      </c>
      <c r="E21" s="22" t="s">
        <v>112</v>
      </c>
      <c r="F21" s="32"/>
      <c r="G21" s="8" t="s">
        <v>275</v>
      </c>
      <c r="H21" s="9"/>
      <c r="I21" s="8"/>
      <c r="J21" s="22" t="s">
        <v>225</v>
      </c>
    </row>
    <row r="22" spans="1:10" ht="25.5" x14ac:dyDescent="0.25">
      <c r="A22" s="22" t="s">
        <v>278</v>
      </c>
      <c r="B22" s="22" t="s">
        <v>279</v>
      </c>
      <c r="C22" s="22" t="s">
        <v>280</v>
      </c>
      <c r="D22" s="22" t="s">
        <v>224</v>
      </c>
      <c r="E22" s="22" t="s">
        <v>114</v>
      </c>
      <c r="F22" s="32"/>
      <c r="G22" s="8" t="s">
        <v>275</v>
      </c>
      <c r="H22" s="9"/>
      <c r="I22" s="8"/>
      <c r="J22" s="22" t="s">
        <v>225</v>
      </c>
    </row>
    <row r="23" spans="1:10" ht="25.5" x14ac:dyDescent="0.25">
      <c r="A23" s="22" t="s">
        <v>278</v>
      </c>
      <c r="B23" s="22" t="s">
        <v>279</v>
      </c>
      <c r="C23" s="22" t="s">
        <v>280</v>
      </c>
      <c r="D23" s="22" t="s">
        <v>224</v>
      </c>
      <c r="E23" s="22" t="s">
        <v>115</v>
      </c>
      <c r="F23" s="32"/>
      <c r="G23" s="8" t="s">
        <v>275</v>
      </c>
      <c r="H23" s="9"/>
      <c r="I23" s="8"/>
      <c r="J23" s="22" t="s">
        <v>225</v>
      </c>
    </row>
    <row r="24" spans="1:10" ht="25.5" x14ac:dyDescent="0.25">
      <c r="A24" s="22" t="s">
        <v>278</v>
      </c>
      <c r="B24" s="22" t="s">
        <v>279</v>
      </c>
      <c r="C24" s="22" t="s">
        <v>280</v>
      </c>
      <c r="D24" s="22" t="s">
        <v>224</v>
      </c>
      <c r="E24" s="22" t="s">
        <v>116</v>
      </c>
      <c r="F24" s="32"/>
      <c r="G24" s="8" t="s">
        <v>275</v>
      </c>
      <c r="H24" s="9"/>
      <c r="I24" s="8"/>
      <c r="J24" s="22" t="s">
        <v>225</v>
      </c>
    </row>
    <row r="25" spans="1:10" ht="25.5" x14ac:dyDescent="0.25">
      <c r="A25" s="22" t="s">
        <v>278</v>
      </c>
      <c r="B25" s="22" t="s">
        <v>279</v>
      </c>
      <c r="C25" s="22" t="s">
        <v>280</v>
      </c>
      <c r="D25" s="22" t="s">
        <v>224</v>
      </c>
      <c r="E25" s="22" t="s">
        <v>117</v>
      </c>
      <c r="F25" s="32"/>
      <c r="G25" s="8" t="s">
        <v>275</v>
      </c>
      <c r="H25" s="9"/>
      <c r="I25" s="8"/>
      <c r="J25" s="22" t="s">
        <v>225</v>
      </c>
    </row>
    <row r="26" spans="1:10" ht="25.5" x14ac:dyDescent="0.25">
      <c r="A26" s="22" t="s">
        <v>278</v>
      </c>
      <c r="B26" s="22" t="s">
        <v>279</v>
      </c>
      <c r="C26" s="22" t="s">
        <v>280</v>
      </c>
      <c r="D26" s="22" t="s">
        <v>224</v>
      </c>
      <c r="E26" s="22" t="s">
        <v>118</v>
      </c>
      <c r="F26" s="32"/>
      <c r="G26" s="8" t="s">
        <v>275</v>
      </c>
      <c r="H26" s="9"/>
      <c r="I26" s="8"/>
      <c r="J26" s="22" t="s">
        <v>225</v>
      </c>
    </row>
    <row r="27" spans="1:10" ht="25.5" x14ac:dyDescent="0.25">
      <c r="A27" s="22" t="s">
        <v>278</v>
      </c>
      <c r="B27" s="22" t="s">
        <v>279</v>
      </c>
      <c r="C27" s="22" t="s">
        <v>280</v>
      </c>
      <c r="D27" s="22" t="s">
        <v>224</v>
      </c>
      <c r="E27" s="22" t="s">
        <v>26</v>
      </c>
      <c r="F27" s="32"/>
      <c r="G27" s="8" t="s">
        <v>275</v>
      </c>
      <c r="H27" s="9"/>
      <c r="I27" s="8"/>
      <c r="J27" s="22" t="s">
        <v>225</v>
      </c>
    </row>
    <row r="28" spans="1:10" x14ac:dyDescent="0.25">
      <c r="A28" s="27" t="s">
        <v>124</v>
      </c>
      <c r="B28" s="28"/>
      <c r="C28" s="28"/>
      <c r="D28" s="28"/>
      <c r="E28" s="28"/>
      <c r="F28" s="28"/>
      <c r="G28" s="28"/>
      <c r="H28" s="28"/>
      <c r="I28" s="28"/>
      <c r="J28" s="28"/>
    </row>
    <row r="29" spans="1:10" x14ac:dyDescent="0.25">
      <c r="A29" s="22" t="s">
        <v>281</v>
      </c>
      <c r="B29" s="22" t="s">
        <v>282</v>
      </c>
      <c r="C29" s="22"/>
      <c r="D29" s="22" t="s">
        <v>224</v>
      </c>
      <c r="E29" s="22" t="s">
        <v>26</v>
      </c>
      <c r="F29" s="32"/>
      <c r="G29" s="8" t="s">
        <v>283</v>
      </c>
      <c r="H29" s="9"/>
      <c r="I29" s="8"/>
      <c r="J29" s="22" t="s">
        <v>225</v>
      </c>
    </row>
    <row r="30" spans="1:10" x14ac:dyDescent="0.25">
      <c r="A30" s="22" t="s">
        <v>284</v>
      </c>
      <c r="B30" s="22" t="s">
        <v>285</v>
      </c>
      <c r="C30" s="22"/>
      <c r="D30" s="22" t="s">
        <v>224</v>
      </c>
      <c r="E30" s="22" t="s">
        <v>26</v>
      </c>
      <c r="F30" s="32"/>
      <c r="G30" s="8" t="s">
        <v>143</v>
      </c>
      <c r="H30" s="9"/>
      <c r="I30" s="8"/>
      <c r="J30" s="22" t="s">
        <v>225</v>
      </c>
    </row>
    <row r="31" spans="1:10" ht="25.5" x14ac:dyDescent="0.25">
      <c r="A31" s="22" t="s">
        <v>286</v>
      </c>
      <c r="B31" s="22" t="s">
        <v>287</v>
      </c>
      <c r="C31" s="22"/>
      <c r="D31" s="22" t="s">
        <v>224</v>
      </c>
      <c r="E31" s="22" t="s">
        <v>26</v>
      </c>
      <c r="F31" s="32"/>
      <c r="G31" s="8" t="s">
        <v>143</v>
      </c>
      <c r="H31" s="9"/>
      <c r="I31" s="8"/>
      <c r="J31" s="22" t="s">
        <v>225</v>
      </c>
    </row>
    <row r="32" spans="1:10" x14ac:dyDescent="0.25">
      <c r="A32" s="22" t="s">
        <v>288</v>
      </c>
      <c r="B32" s="22" t="s">
        <v>289</v>
      </c>
      <c r="C32" s="22" t="s">
        <v>290</v>
      </c>
      <c r="D32" s="22" t="s">
        <v>229</v>
      </c>
      <c r="E32" s="22" t="s">
        <v>26</v>
      </c>
      <c r="F32" s="33"/>
      <c r="G32" s="8" t="s">
        <v>143</v>
      </c>
      <c r="H32" s="9"/>
      <c r="I32" s="8"/>
      <c r="J32" s="22" t="s">
        <v>243</v>
      </c>
    </row>
    <row r="33" spans="1:10" x14ac:dyDescent="0.25">
      <c r="A33" s="22" t="s">
        <v>291</v>
      </c>
      <c r="B33" s="22" t="s">
        <v>292</v>
      </c>
      <c r="C33" s="22"/>
      <c r="D33" s="22" t="s">
        <v>293</v>
      </c>
      <c r="E33" s="22" t="s">
        <v>26</v>
      </c>
      <c r="F33" s="35"/>
      <c r="G33" s="8" t="s">
        <v>143</v>
      </c>
      <c r="H33" s="9"/>
      <c r="I33" s="8"/>
      <c r="J33" s="22" t="s">
        <v>243</v>
      </c>
    </row>
    <row r="34" spans="1:10" ht="25.5" x14ac:dyDescent="0.25">
      <c r="A34" s="22" t="s">
        <v>294</v>
      </c>
      <c r="B34" s="22" t="s">
        <v>295</v>
      </c>
      <c r="C34" s="22" t="s">
        <v>296</v>
      </c>
      <c r="D34" s="22" t="s">
        <v>136</v>
      </c>
      <c r="E34" s="22" t="s">
        <v>26</v>
      </c>
      <c r="F34" s="30"/>
      <c r="G34" s="8" t="s">
        <v>143</v>
      </c>
      <c r="H34" s="9"/>
      <c r="I34" s="8"/>
      <c r="J34" s="22" t="s">
        <v>243</v>
      </c>
    </row>
    <row r="35" spans="1:10" x14ac:dyDescent="0.25">
      <c r="A35" s="22" t="s">
        <v>297</v>
      </c>
      <c r="B35" s="22" t="s">
        <v>298</v>
      </c>
      <c r="C35" s="22"/>
      <c r="D35" s="22" t="s">
        <v>111</v>
      </c>
      <c r="E35" s="22" t="s">
        <v>26</v>
      </c>
      <c r="F35" s="29"/>
      <c r="G35" s="8" t="s">
        <v>143</v>
      </c>
      <c r="H35" s="9"/>
      <c r="I35" s="8"/>
      <c r="J35" s="22" t="s">
        <v>243</v>
      </c>
    </row>
    <row r="36" spans="1:10" x14ac:dyDescent="0.25">
      <c r="A36" s="27" t="s">
        <v>299</v>
      </c>
      <c r="B36" s="28"/>
      <c r="C36" s="28"/>
      <c r="D36" s="28"/>
      <c r="E36" s="28"/>
      <c r="F36" s="28"/>
      <c r="G36" s="28"/>
      <c r="H36" s="28"/>
      <c r="I36" s="28"/>
      <c r="J36" s="28"/>
    </row>
    <row r="37" spans="1:10" ht="25.5" x14ac:dyDescent="0.25">
      <c r="A37" s="22" t="s">
        <v>300</v>
      </c>
      <c r="B37" s="22" t="s">
        <v>301</v>
      </c>
      <c r="C37" s="22" t="s">
        <v>302</v>
      </c>
      <c r="D37" s="22" t="s">
        <v>303</v>
      </c>
      <c r="E37" s="22" t="s">
        <v>26</v>
      </c>
      <c r="F37" s="36" t="str">
        <f>IFERROR('1 Enrollment'!F13/F13,"")</f>
        <v/>
      </c>
      <c r="G37" s="8" t="s">
        <v>14</v>
      </c>
      <c r="H37" s="9"/>
      <c r="I37" s="8"/>
      <c r="J37" s="22" t="s">
        <v>225</v>
      </c>
    </row>
  </sheetData>
  <autoFilter ref="A5:J37" xr:uid="{00000000-0009-0000-0000-000005000000}"/>
  <dataValidations count="1">
    <dataValidation type="decimal" allowBlank="1" showErrorMessage="1" errorTitle="Enter a decimal" error="Percentages are entered as decimals between 0 and 1 (e.g., 0.42 for 42%)." sqref="F34" xr:uid="{00000000-0002-0000-0500-000000000000}">
      <formula1>0</formula1>
      <formula2>1</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2"/>
  <sheetViews>
    <sheetView zoomScaleNormal="100" workbookViewId="0">
      <pane xSplit="5" ySplit="5" topLeftCell="F6" activePane="bottomRight" state="frozen"/>
      <selection pane="topRight" activeCell="F1" sqref="F1"/>
      <selection pane="bottomLeft" activeCell="A6" sqref="A6"/>
      <selection pane="bottomRight"/>
    </sheetView>
  </sheetViews>
  <sheetFormatPr defaultColWidth="8.7109375" defaultRowHeight="15" x14ac:dyDescent="0.25"/>
  <cols>
    <col min="1" max="1" width="7" customWidth="1"/>
    <col min="2" max="2" width="34" customWidth="1"/>
    <col min="3" max="3" width="42" customWidth="1"/>
    <col min="4" max="5" width="9" customWidth="1"/>
    <col min="6" max="6" width="15" customWidth="1"/>
    <col min="7" max="7" width="26" customWidth="1"/>
    <col min="8" max="8" width="12" customWidth="1"/>
    <col min="9" max="9" width="40" customWidth="1"/>
    <col min="10" max="10" width="8" customWidth="1"/>
  </cols>
  <sheetData>
    <row r="1" spans="1:10" ht="18" x14ac:dyDescent="0.25">
      <c r="A1" s="18" t="s">
        <v>304</v>
      </c>
    </row>
    <row r="2" spans="1:10" x14ac:dyDescent="0.25">
      <c r="A2" s="19" t="s">
        <v>305</v>
      </c>
    </row>
    <row r="3" spans="1:10"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0" ht="39.75" customHeight="1" x14ac:dyDescent="0.25">
      <c r="A5" s="21" t="s">
        <v>34</v>
      </c>
      <c r="B5" s="21" t="s">
        <v>18</v>
      </c>
      <c r="C5" s="21" t="s">
        <v>102</v>
      </c>
      <c r="D5" s="21" t="s">
        <v>103</v>
      </c>
      <c r="E5" s="21" t="s">
        <v>19</v>
      </c>
      <c r="F5" s="21" t="s">
        <v>104</v>
      </c>
      <c r="G5" s="21" t="s">
        <v>22</v>
      </c>
      <c r="H5" s="21" t="s">
        <v>23</v>
      </c>
      <c r="I5" s="21" t="s">
        <v>105</v>
      </c>
      <c r="J5" s="21" t="s">
        <v>106</v>
      </c>
    </row>
    <row r="6" spans="1:10" x14ac:dyDescent="0.25">
      <c r="A6" s="22" t="s">
        <v>306</v>
      </c>
      <c r="B6" s="22" t="s">
        <v>307</v>
      </c>
      <c r="C6" s="22"/>
      <c r="D6" s="22" t="s">
        <v>111</v>
      </c>
      <c r="E6" s="22" t="s">
        <v>26</v>
      </c>
      <c r="F6" s="29"/>
      <c r="G6" s="8" t="s">
        <v>308</v>
      </c>
      <c r="H6" s="9"/>
      <c r="I6" s="8"/>
      <c r="J6" s="22" t="s">
        <v>243</v>
      </c>
    </row>
    <row r="7" spans="1:10" x14ac:dyDescent="0.25">
      <c r="A7" s="22" t="s">
        <v>309</v>
      </c>
      <c r="B7" s="22" t="s">
        <v>310</v>
      </c>
      <c r="C7" s="22"/>
      <c r="D7" s="22" t="s">
        <v>111</v>
      </c>
      <c r="E7" s="22" t="s">
        <v>26</v>
      </c>
      <c r="F7" s="29"/>
      <c r="G7" s="8" t="s">
        <v>308</v>
      </c>
      <c r="H7" s="9"/>
      <c r="I7" s="8"/>
      <c r="J7" s="22" t="s">
        <v>243</v>
      </c>
    </row>
    <row r="8" spans="1:10" x14ac:dyDescent="0.25">
      <c r="A8" s="22" t="s">
        <v>311</v>
      </c>
      <c r="B8" s="22" t="s">
        <v>312</v>
      </c>
      <c r="C8" s="22"/>
      <c r="D8" s="22" t="s">
        <v>111</v>
      </c>
      <c r="E8" s="22" t="s">
        <v>26</v>
      </c>
      <c r="F8" s="29"/>
      <c r="G8" s="8" t="s">
        <v>308</v>
      </c>
      <c r="H8" s="9"/>
      <c r="I8" s="8"/>
      <c r="J8" s="22" t="s">
        <v>243</v>
      </c>
    </row>
    <row r="9" spans="1:10" x14ac:dyDescent="0.25">
      <c r="A9" s="22" t="s">
        <v>313</v>
      </c>
      <c r="B9" s="22" t="s">
        <v>314</v>
      </c>
      <c r="C9" s="22"/>
      <c r="D9" s="22" t="s">
        <v>111</v>
      </c>
      <c r="E9" s="22" t="s">
        <v>26</v>
      </c>
      <c r="F9" s="29"/>
      <c r="G9" s="8" t="s">
        <v>308</v>
      </c>
      <c r="H9" s="9"/>
      <c r="I9" s="8"/>
      <c r="J9" s="22" t="s">
        <v>243</v>
      </c>
    </row>
    <row r="10" spans="1:10" ht="25.5" x14ac:dyDescent="0.25">
      <c r="A10" s="22" t="s">
        <v>315</v>
      </c>
      <c r="B10" s="22" t="s">
        <v>316</v>
      </c>
      <c r="C10" s="22" t="s">
        <v>317</v>
      </c>
      <c r="D10" s="22" t="s">
        <v>318</v>
      </c>
      <c r="E10" s="22" t="s">
        <v>26</v>
      </c>
      <c r="F10" s="37"/>
      <c r="G10" s="8" t="s">
        <v>3</v>
      </c>
      <c r="H10" s="9"/>
      <c r="I10" s="8"/>
      <c r="J10" s="22" t="s">
        <v>243</v>
      </c>
    </row>
    <row r="11" spans="1:10" x14ac:dyDescent="0.25">
      <c r="A11" s="22" t="s">
        <v>319</v>
      </c>
      <c r="B11" s="22" t="s">
        <v>320</v>
      </c>
      <c r="C11" s="22"/>
      <c r="D11" s="22" t="s">
        <v>321</v>
      </c>
      <c r="E11" s="22" t="s">
        <v>26</v>
      </c>
      <c r="F11" s="9"/>
      <c r="G11" s="8" t="s">
        <v>3</v>
      </c>
      <c r="H11" s="9"/>
      <c r="I11" s="8"/>
      <c r="J11" s="22" t="s">
        <v>263</v>
      </c>
    </row>
    <row r="12" spans="1:10" ht="25.5" x14ac:dyDescent="0.25">
      <c r="A12" s="22" t="s">
        <v>322</v>
      </c>
      <c r="B12" s="22" t="s">
        <v>323</v>
      </c>
      <c r="C12" s="22"/>
      <c r="D12" s="22" t="s">
        <v>111</v>
      </c>
      <c r="E12" s="22" t="s">
        <v>26</v>
      </c>
      <c r="F12" s="29"/>
      <c r="G12" s="8" t="s">
        <v>3</v>
      </c>
      <c r="H12" s="9"/>
      <c r="I12" s="8"/>
      <c r="J12" s="22" t="s">
        <v>243</v>
      </c>
    </row>
  </sheetData>
  <autoFilter ref="A5:J12" xr:uid="{00000000-0009-0000-0000-000006000000}"/>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25"/>
  <sheetViews>
    <sheetView zoomScaleNormal="100" workbookViewId="0">
      <pane xSplit="2" ySplit="5" topLeftCell="C6" activePane="bottomRight" state="frozen"/>
      <selection pane="topRight" activeCell="C1" sqref="C1"/>
      <selection pane="bottomLeft" activeCell="A6" sqref="A6"/>
      <selection pane="bottomRight"/>
    </sheetView>
  </sheetViews>
  <sheetFormatPr defaultColWidth="8.7109375" defaultRowHeight="15" x14ac:dyDescent="0.25"/>
  <cols>
    <col min="1" max="1" width="16" customWidth="1"/>
    <col min="2" max="2" width="26" customWidth="1"/>
    <col min="3" max="4" width="10" customWidth="1"/>
    <col min="5" max="5" width="13" customWidth="1"/>
    <col min="6" max="6" width="12" customWidth="1"/>
    <col min="7" max="7" width="13" customWidth="1"/>
    <col min="8" max="9" width="11" customWidth="1"/>
    <col min="10" max="10" width="13" customWidth="1"/>
    <col min="11" max="11" width="12" customWidth="1"/>
    <col min="12" max="12" width="14" customWidth="1"/>
    <col min="13" max="13" width="30" customWidth="1"/>
    <col min="14" max="14" width="13" customWidth="1"/>
    <col min="15" max="16" width="22" customWidth="1"/>
    <col min="17" max="17" width="28" customWidth="1"/>
  </cols>
  <sheetData>
    <row r="1" spans="1:17" ht="18" x14ac:dyDescent="0.25">
      <c r="A1" s="18" t="s">
        <v>324</v>
      </c>
    </row>
    <row r="2" spans="1:17" x14ac:dyDescent="0.25">
      <c r="A2" s="19" t="s">
        <v>325</v>
      </c>
    </row>
    <row r="3" spans="1:17"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7" ht="39.75" customHeight="1" x14ac:dyDescent="0.25">
      <c r="A5" s="21" t="s">
        <v>3</v>
      </c>
      <c r="B5" s="21" t="s">
        <v>326</v>
      </c>
      <c r="C5" s="21" t="s">
        <v>327</v>
      </c>
      <c r="D5" s="21" t="s">
        <v>328</v>
      </c>
      <c r="E5" s="21" t="s">
        <v>329</v>
      </c>
      <c r="F5" s="21" t="s">
        <v>330</v>
      </c>
      <c r="G5" s="21" t="s">
        <v>331</v>
      </c>
      <c r="H5" s="21" t="s">
        <v>332</v>
      </c>
      <c r="I5" s="21" t="s">
        <v>333</v>
      </c>
      <c r="J5" s="21" t="s">
        <v>334</v>
      </c>
      <c r="K5" s="21" t="s">
        <v>335</v>
      </c>
      <c r="L5" s="21" t="s">
        <v>336</v>
      </c>
      <c r="M5" s="21" t="s">
        <v>337</v>
      </c>
      <c r="N5" s="21" t="s">
        <v>338</v>
      </c>
      <c r="O5" s="21" t="s">
        <v>339</v>
      </c>
      <c r="P5" s="21" t="s">
        <v>22</v>
      </c>
      <c r="Q5" s="21" t="s">
        <v>24</v>
      </c>
    </row>
    <row r="6" spans="1:17" x14ac:dyDescent="0.25">
      <c r="A6" s="12" t="str">
        <f>IF(B6="","",'Read Me'!$C$5)</f>
        <v/>
      </c>
      <c r="B6" s="8"/>
      <c r="C6" s="8"/>
      <c r="D6" s="38"/>
      <c r="E6" s="8"/>
      <c r="F6" s="29"/>
      <c r="G6" s="29"/>
      <c r="H6" s="29"/>
      <c r="I6" s="26" t="str">
        <f t="shared" ref="I6:I25" si="0">IFERROR(H6/G6,"")</f>
        <v/>
      </c>
      <c r="J6" s="8"/>
      <c r="K6" s="30"/>
      <c r="L6" s="33"/>
      <c r="M6" s="8"/>
      <c r="N6" s="33"/>
      <c r="O6" s="8"/>
      <c r="P6" s="8"/>
      <c r="Q6" s="8"/>
    </row>
    <row r="7" spans="1:17" x14ac:dyDescent="0.25">
      <c r="A7" s="12" t="str">
        <f>IF(B7="","",'Read Me'!$C$5)</f>
        <v/>
      </c>
      <c r="B7" s="8"/>
      <c r="C7" s="8"/>
      <c r="D7" s="38"/>
      <c r="E7" s="8"/>
      <c r="F7" s="29"/>
      <c r="G7" s="29"/>
      <c r="H7" s="29"/>
      <c r="I7" s="26" t="str">
        <f t="shared" si="0"/>
        <v/>
      </c>
      <c r="J7" s="8"/>
      <c r="K7" s="30"/>
      <c r="L7" s="33"/>
      <c r="M7" s="8"/>
      <c r="N7" s="33"/>
      <c r="O7" s="8"/>
      <c r="P7" s="8"/>
      <c r="Q7" s="8"/>
    </row>
    <row r="8" spans="1:17" x14ac:dyDescent="0.25">
      <c r="A8" s="12" t="str">
        <f>IF(B8="","",'Read Me'!$C$5)</f>
        <v/>
      </c>
      <c r="B8" s="8"/>
      <c r="C8" s="8"/>
      <c r="D8" s="38"/>
      <c r="E8" s="8"/>
      <c r="F8" s="29"/>
      <c r="G8" s="29"/>
      <c r="H8" s="29"/>
      <c r="I8" s="26" t="str">
        <f t="shared" si="0"/>
        <v/>
      </c>
      <c r="J8" s="8"/>
      <c r="K8" s="30"/>
      <c r="L8" s="33"/>
      <c r="M8" s="8"/>
      <c r="N8" s="33"/>
      <c r="O8" s="8"/>
      <c r="P8" s="8"/>
      <c r="Q8" s="8"/>
    </row>
    <row r="9" spans="1:17" x14ac:dyDescent="0.25">
      <c r="A9" s="12" t="str">
        <f>IF(B9="","",'Read Me'!$C$5)</f>
        <v/>
      </c>
      <c r="B9" s="8"/>
      <c r="C9" s="8"/>
      <c r="D9" s="38"/>
      <c r="E9" s="8"/>
      <c r="F9" s="29"/>
      <c r="G9" s="29"/>
      <c r="H9" s="29"/>
      <c r="I9" s="26" t="str">
        <f t="shared" si="0"/>
        <v/>
      </c>
      <c r="J9" s="8"/>
      <c r="K9" s="30"/>
      <c r="L9" s="33"/>
      <c r="M9" s="8"/>
      <c r="N9" s="33"/>
      <c r="O9" s="8"/>
      <c r="P9" s="8"/>
      <c r="Q9" s="8"/>
    </row>
    <row r="10" spans="1:17" x14ac:dyDescent="0.25">
      <c r="A10" s="12" t="str">
        <f>IF(B10="","",'Read Me'!$C$5)</f>
        <v/>
      </c>
      <c r="B10" s="8"/>
      <c r="C10" s="8"/>
      <c r="D10" s="38"/>
      <c r="E10" s="8"/>
      <c r="F10" s="29"/>
      <c r="G10" s="29"/>
      <c r="H10" s="29"/>
      <c r="I10" s="26" t="str">
        <f t="shared" si="0"/>
        <v/>
      </c>
      <c r="J10" s="8"/>
      <c r="K10" s="30"/>
      <c r="L10" s="33"/>
      <c r="M10" s="8"/>
      <c r="N10" s="33"/>
      <c r="O10" s="8"/>
      <c r="P10" s="8"/>
      <c r="Q10" s="8"/>
    </row>
    <row r="11" spans="1:17" x14ac:dyDescent="0.25">
      <c r="A11" s="12" t="str">
        <f>IF(B11="","",'Read Me'!$C$5)</f>
        <v/>
      </c>
      <c r="B11" s="8"/>
      <c r="C11" s="8"/>
      <c r="D11" s="38"/>
      <c r="E11" s="8"/>
      <c r="F11" s="29"/>
      <c r="G11" s="29"/>
      <c r="H11" s="29"/>
      <c r="I11" s="26" t="str">
        <f t="shared" si="0"/>
        <v/>
      </c>
      <c r="J11" s="8"/>
      <c r="K11" s="30"/>
      <c r="L11" s="33"/>
      <c r="M11" s="8"/>
      <c r="N11" s="33"/>
      <c r="O11" s="8"/>
      <c r="P11" s="8"/>
      <c r="Q11" s="8"/>
    </row>
    <row r="12" spans="1:17" x14ac:dyDescent="0.25">
      <c r="A12" s="12" t="str">
        <f>IF(B12="","",'Read Me'!$C$5)</f>
        <v/>
      </c>
      <c r="B12" s="8"/>
      <c r="C12" s="8"/>
      <c r="D12" s="38"/>
      <c r="E12" s="8"/>
      <c r="F12" s="29"/>
      <c r="G12" s="29"/>
      <c r="H12" s="29"/>
      <c r="I12" s="26" t="str">
        <f t="shared" si="0"/>
        <v/>
      </c>
      <c r="J12" s="8"/>
      <c r="K12" s="30"/>
      <c r="L12" s="33"/>
      <c r="M12" s="8"/>
      <c r="N12" s="33"/>
      <c r="O12" s="8"/>
      <c r="P12" s="8"/>
      <c r="Q12" s="8"/>
    </row>
    <row r="13" spans="1:17" x14ac:dyDescent="0.25">
      <c r="A13" s="12" t="str">
        <f>IF(B13="","",'Read Me'!$C$5)</f>
        <v/>
      </c>
      <c r="B13" s="8"/>
      <c r="C13" s="8"/>
      <c r="D13" s="38"/>
      <c r="E13" s="8"/>
      <c r="F13" s="29"/>
      <c r="G13" s="29"/>
      <c r="H13" s="29"/>
      <c r="I13" s="26" t="str">
        <f t="shared" si="0"/>
        <v/>
      </c>
      <c r="J13" s="8"/>
      <c r="K13" s="30"/>
      <c r="L13" s="33"/>
      <c r="M13" s="8"/>
      <c r="N13" s="33"/>
      <c r="O13" s="8"/>
      <c r="P13" s="8"/>
      <c r="Q13" s="8"/>
    </row>
    <row r="14" spans="1:17" x14ac:dyDescent="0.25">
      <c r="A14" s="12" t="str">
        <f>IF(B14="","",'Read Me'!$C$5)</f>
        <v/>
      </c>
      <c r="B14" s="8"/>
      <c r="C14" s="8"/>
      <c r="D14" s="38"/>
      <c r="E14" s="8"/>
      <c r="F14" s="29"/>
      <c r="G14" s="29"/>
      <c r="H14" s="29"/>
      <c r="I14" s="26" t="str">
        <f t="shared" si="0"/>
        <v/>
      </c>
      <c r="J14" s="8"/>
      <c r="K14" s="30"/>
      <c r="L14" s="33"/>
      <c r="M14" s="8"/>
      <c r="N14" s="33"/>
      <c r="O14" s="8"/>
      <c r="P14" s="8"/>
      <c r="Q14" s="8"/>
    </row>
    <row r="15" spans="1:17" x14ac:dyDescent="0.25">
      <c r="A15" s="12" t="str">
        <f>IF(B15="","",'Read Me'!$C$5)</f>
        <v/>
      </c>
      <c r="B15" s="8"/>
      <c r="C15" s="8"/>
      <c r="D15" s="38"/>
      <c r="E15" s="8"/>
      <c r="F15" s="29"/>
      <c r="G15" s="29"/>
      <c r="H15" s="29"/>
      <c r="I15" s="26" t="str">
        <f t="shared" si="0"/>
        <v/>
      </c>
      <c r="J15" s="8"/>
      <c r="K15" s="30"/>
      <c r="L15" s="33"/>
      <c r="M15" s="8"/>
      <c r="N15" s="33"/>
      <c r="O15" s="8"/>
      <c r="P15" s="8"/>
      <c r="Q15" s="8"/>
    </row>
    <row r="16" spans="1:17" x14ac:dyDescent="0.25">
      <c r="A16" s="12" t="str">
        <f>IF(B16="","",'Read Me'!$C$5)</f>
        <v/>
      </c>
      <c r="B16" s="8"/>
      <c r="C16" s="8"/>
      <c r="D16" s="38"/>
      <c r="E16" s="8"/>
      <c r="F16" s="29"/>
      <c r="G16" s="29"/>
      <c r="H16" s="29"/>
      <c r="I16" s="26" t="str">
        <f t="shared" si="0"/>
        <v/>
      </c>
      <c r="J16" s="8"/>
      <c r="K16" s="30"/>
      <c r="L16" s="33"/>
      <c r="M16" s="8"/>
      <c r="N16" s="33"/>
      <c r="O16" s="8"/>
      <c r="P16" s="8"/>
      <c r="Q16" s="8"/>
    </row>
    <row r="17" spans="1:17" x14ac:dyDescent="0.25">
      <c r="A17" s="12" t="str">
        <f>IF(B17="","",'Read Me'!$C$5)</f>
        <v/>
      </c>
      <c r="B17" s="8"/>
      <c r="C17" s="8"/>
      <c r="D17" s="38"/>
      <c r="E17" s="8"/>
      <c r="F17" s="29"/>
      <c r="G17" s="29"/>
      <c r="H17" s="29"/>
      <c r="I17" s="26" t="str">
        <f t="shared" si="0"/>
        <v/>
      </c>
      <c r="J17" s="8"/>
      <c r="K17" s="30"/>
      <c r="L17" s="33"/>
      <c r="M17" s="8"/>
      <c r="N17" s="33"/>
      <c r="O17" s="8"/>
      <c r="P17" s="8"/>
      <c r="Q17" s="8"/>
    </row>
    <row r="18" spans="1:17" x14ac:dyDescent="0.25">
      <c r="A18" s="12" t="str">
        <f>IF(B18="","",'Read Me'!$C$5)</f>
        <v/>
      </c>
      <c r="B18" s="8"/>
      <c r="C18" s="8"/>
      <c r="D18" s="38"/>
      <c r="E18" s="8"/>
      <c r="F18" s="29"/>
      <c r="G18" s="29"/>
      <c r="H18" s="29"/>
      <c r="I18" s="26" t="str">
        <f t="shared" si="0"/>
        <v/>
      </c>
      <c r="J18" s="8"/>
      <c r="K18" s="30"/>
      <c r="L18" s="33"/>
      <c r="M18" s="8"/>
      <c r="N18" s="33"/>
      <c r="O18" s="8"/>
      <c r="P18" s="8"/>
      <c r="Q18" s="8"/>
    </row>
    <row r="19" spans="1:17" x14ac:dyDescent="0.25">
      <c r="A19" s="12" t="str">
        <f>IF(B19="","",'Read Me'!$C$5)</f>
        <v/>
      </c>
      <c r="B19" s="8"/>
      <c r="C19" s="8"/>
      <c r="D19" s="38"/>
      <c r="E19" s="8"/>
      <c r="F19" s="29"/>
      <c r="G19" s="29"/>
      <c r="H19" s="29"/>
      <c r="I19" s="26" t="str">
        <f t="shared" si="0"/>
        <v/>
      </c>
      <c r="J19" s="8"/>
      <c r="K19" s="30"/>
      <c r="L19" s="33"/>
      <c r="M19" s="8"/>
      <c r="N19" s="33"/>
      <c r="O19" s="8"/>
      <c r="P19" s="8"/>
      <c r="Q19" s="8"/>
    </row>
    <row r="20" spans="1:17" x14ac:dyDescent="0.25">
      <c r="A20" s="12" t="str">
        <f>IF(B20="","",'Read Me'!$C$5)</f>
        <v/>
      </c>
      <c r="B20" s="8"/>
      <c r="C20" s="8"/>
      <c r="D20" s="38"/>
      <c r="E20" s="8"/>
      <c r="F20" s="29"/>
      <c r="G20" s="29"/>
      <c r="H20" s="29"/>
      <c r="I20" s="26" t="str">
        <f t="shared" si="0"/>
        <v/>
      </c>
      <c r="J20" s="8"/>
      <c r="K20" s="30"/>
      <c r="L20" s="33"/>
      <c r="M20" s="8"/>
      <c r="N20" s="33"/>
      <c r="O20" s="8"/>
      <c r="P20" s="8"/>
      <c r="Q20" s="8"/>
    </row>
    <row r="21" spans="1:17" x14ac:dyDescent="0.25">
      <c r="A21" s="12" t="str">
        <f>IF(B21="","",'Read Me'!$C$5)</f>
        <v/>
      </c>
      <c r="B21" s="8"/>
      <c r="C21" s="8"/>
      <c r="D21" s="38"/>
      <c r="E21" s="8"/>
      <c r="F21" s="29"/>
      <c r="G21" s="29"/>
      <c r="H21" s="29"/>
      <c r="I21" s="26" t="str">
        <f t="shared" si="0"/>
        <v/>
      </c>
      <c r="J21" s="8"/>
      <c r="K21" s="30"/>
      <c r="L21" s="33"/>
      <c r="M21" s="8"/>
      <c r="N21" s="33"/>
      <c r="O21" s="8"/>
      <c r="P21" s="8"/>
      <c r="Q21" s="8"/>
    </row>
    <row r="22" spans="1:17" x14ac:dyDescent="0.25">
      <c r="A22" s="12" t="str">
        <f>IF(B22="","",'Read Me'!$C$5)</f>
        <v/>
      </c>
      <c r="B22" s="8"/>
      <c r="C22" s="8"/>
      <c r="D22" s="38"/>
      <c r="E22" s="8"/>
      <c r="F22" s="29"/>
      <c r="G22" s="29"/>
      <c r="H22" s="29"/>
      <c r="I22" s="26" t="str">
        <f t="shared" si="0"/>
        <v/>
      </c>
      <c r="J22" s="8"/>
      <c r="K22" s="30"/>
      <c r="L22" s="33"/>
      <c r="M22" s="8"/>
      <c r="N22" s="33"/>
      <c r="O22" s="8"/>
      <c r="P22" s="8"/>
      <c r="Q22" s="8"/>
    </row>
    <row r="23" spans="1:17" x14ac:dyDescent="0.25">
      <c r="A23" s="12" t="str">
        <f>IF(B23="","",'Read Me'!$C$5)</f>
        <v/>
      </c>
      <c r="B23" s="8"/>
      <c r="C23" s="8"/>
      <c r="D23" s="38"/>
      <c r="E23" s="8"/>
      <c r="F23" s="29"/>
      <c r="G23" s="29"/>
      <c r="H23" s="29"/>
      <c r="I23" s="26" t="str">
        <f t="shared" si="0"/>
        <v/>
      </c>
      <c r="J23" s="8"/>
      <c r="K23" s="30"/>
      <c r="L23" s="33"/>
      <c r="M23" s="8"/>
      <c r="N23" s="33"/>
      <c r="O23" s="8"/>
      <c r="P23" s="8"/>
      <c r="Q23" s="8"/>
    </row>
    <row r="24" spans="1:17" x14ac:dyDescent="0.25">
      <c r="A24" s="12" t="str">
        <f>IF(B24="","",'Read Me'!$C$5)</f>
        <v/>
      </c>
      <c r="B24" s="8"/>
      <c r="C24" s="8"/>
      <c r="D24" s="38"/>
      <c r="E24" s="8"/>
      <c r="F24" s="29"/>
      <c r="G24" s="29"/>
      <c r="H24" s="29"/>
      <c r="I24" s="26" t="str">
        <f t="shared" si="0"/>
        <v/>
      </c>
      <c r="J24" s="8"/>
      <c r="K24" s="30"/>
      <c r="L24" s="33"/>
      <c r="M24" s="8"/>
      <c r="N24" s="33"/>
      <c r="O24" s="8"/>
      <c r="P24" s="8"/>
      <c r="Q24" s="8"/>
    </row>
    <row r="25" spans="1:17" x14ac:dyDescent="0.25">
      <c r="A25" s="12" t="str">
        <f>IF(B25="","",'Read Me'!$C$5)</f>
        <v/>
      </c>
      <c r="B25" s="8"/>
      <c r="C25" s="8"/>
      <c r="D25" s="38"/>
      <c r="E25" s="8"/>
      <c r="F25" s="29"/>
      <c r="G25" s="29"/>
      <c r="H25" s="29"/>
      <c r="I25" s="26" t="str">
        <f t="shared" si="0"/>
        <v/>
      </c>
      <c r="J25" s="8"/>
      <c r="K25" s="30"/>
      <c r="L25" s="33"/>
      <c r="M25" s="8"/>
      <c r="N25" s="33"/>
      <c r="O25" s="8"/>
      <c r="P25" s="8"/>
      <c r="Q25" s="8"/>
    </row>
  </sheetData>
  <autoFilter ref="A5:Q25" xr:uid="{00000000-0009-0000-0000-000007000000}"/>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0000000}">
          <x14:formula1>
            <xm:f>Lists!$E$2:$E$5</xm:f>
          </x14:formula1>
          <x14:formula2>
            <xm:f>0</xm:f>
          </x14:formula2>
          <xm:sqref>J6:J25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45"/>
  <sheetViews>
    <sheetView zoomScaleNormal="100" workbookViewId="0">
      <pane xSplit="2" ySplit="5" topLeftCell="C6" activePane="bottomRight" state="frozen"/>
      <selection pane="topRight" activeCell="C1" sqref="C1"/>
      <selection pane="bottomLeft" activeCell="A6" sqref="A6"/>
      <selection pane="bottomRight"/>
    </sheetView>
  </sheetViews>
  <sheetFormatPr defaultColWidth="8.7109375" defaultRowHeight="15" x14ac:dyDescent="0.25"/>
  <cols>
    <col min="1" max="1" width="16" customWidth="1"/>
    <col min="2" max="2" width="32" customWidth="1"/>
    <col min="3" max="3" width="20" customWidth="1"/>
    <col min="4" max="4" width="10" customWidth="1"/>
    <col min="5" max="5" width="12" customWidth="1"/>
    <col min="6" max="6" width="22" customWidth="1"/>
    <col min="7" max="7" width="18" customWidth="1"/>
    <col min="8" max="8" width="14" customWidth="1"/>
    <col min="9" max="9" width="13" customWidth="1"/>
    <col min="10" max="10" width="42" customWidth="1"/>
    <col min="11" max="11" width="18" customWidth="1"/>
    <col min="12" max="12" width="26" customWidth="1"/>
  </cols>
  <sheetData>
    <row r="1" spans="1:12" ht="18" x14ac:dyDescent="0.25">
      <c r="A1" s="18" t="s">
        <v>340</v>
      </c>
    </row>
    <row r="2" spans="1:12" x14ac:dyDescent="0.25">
      <c r="A2" s="19" t="s">
        <v>341</v>
      </c>
    </row>
    <row r="3" spans="1:12"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2" ht="39.75" customHeight="1" x14ac:dyDescent="0.25">
      <c r="A5" s="21" t="s">
        <v>3</v>
      </c>
      <c r="B5" s="21" t="s">
        <v>342</v>
      </c>
      <c r="C5" s="21" t="s">
        <v>343</v>
      </c>
      <c r="D5" s="21" t="s">
        <v>327</v>
      </c>
      <c r="E5" s="21" t="s">
        <v>344</v>
      </c>
      <c r="F5" s="21" t="s">
        <v>345</v>
      </c>
      <c r="G5" s="21" t="s">
        <v>346</v>
      </c>
      <c r="H5" s="21" t="s">
        <v>347</v>
      </c>
      <c r="I5" s="21" t="s">
        <v>348</v>
      </c>
      <c r="J5" s="21" t="s">
        <v>349</v>
      </c>
      <c r="K5" s="21" t="s">
        <v>350</v>
      </c>
      <c r="L5" s="21" t="s">
        <v>24</v>
      </c>
    </row>
    <row r="6" spans="1:12" x14ac:dyDescent="0.25">
      <c r="A6" s="12" t="str">
        <f>IF(B6="","",'Read Me'!$C$5)</f>
        <v/>
      </c>
      <c r="B6" s="8"/>
      <c r="C6" s="8"/>
      <c r="D6" s="8"/>
      <c r="E6" s="29"/>
      <c r="F6" s="8"/>
      <c r="G6" s="8"/>
      <c r="H6" s="8"/>
      <c r="I6" s="33"/>
      <c r="J6" s="8"/>
      <c r="K6" s="8"/>
      <c r="L6" s="8"/>
    </row>
    <row r="7" spans="1:12" x14ac:dyDescent="0.25">
      <c r="A7" s="12" t="str">
        <f>IF(B7="","",'Read Me'!$C$5)</f>
        <v/>
      </c>
      <c r="B7" s="8"/>
      <c r="C7" s="8"/>
      <c r="D7" s="8"/>
      <c r="E7" s="29"/>
      <c r="F7" s="8"/>
      <c r="G7" s="8"/>
      <c r="H7" s="8"/>
      <c r="I7" s="33"/>
      <c r="J7" s="8"/>
      <c r="K7" s="8"/>
      <c r="L7" s="8"/>
    </row>
    <row r="8" spans="1:12" x14ac:dyDescent="0.25">
      <c r="A8" s="12" t="str">
        <f>IF(B8="","",'Read Me'!$C$5)</f>
        <v/>
      </c>
      <c r="B8" s="8"/>
      <c r="C8" s="8"/>
      <c r="D8" s="8"/>
      <c r="E8" s="29"/>
      <c r="F8" s="8"/>
      <c r="G8" s="8"/>
      <c r="H8" s="8"/>
      <c r="I8" s="33"/>
      <c r="J8" s="8"/>
      <c r="K8" s="8"/>
      <c r="L8" s="8"/>
    </row>
    <row r="9" spans="1:12" x14ac:dyDescent="0.25">
      <c r="A9" s="12" t="str">
        <f>IF(B9="","",'Read Me'!$C$5)</f>
        <v/>
      </c>
      <c r="B9" s="8"/>
      <c r="C9" s="8"/>
      <c r="D9" s="8"/>
      <c r="E9" s="29"/>
      <c r="F9" s="8"/>
      <c r="G9" s="8"/>
      <c r="H9" s="8"/>
      <c r="I9" s="33"/>
      <c r="J9" s="8"/>
      <c r="K9" s="8"/>
      <c r="L9" s="8"/>
    </row>
    <row r="10" spans="1:12" x14ac:dyDescent="0.25">
      <c r="A10" s="12" t="str">
        <f>IF(B10="","",'Read Me'!$C$5)</f>
        <v/>
      </c>
      <c r="B10" s="8"/>
      <c r="C10" s="8"/>
      <c r="D10" s="8"/>
      <c r="E10" s="29"/>
      <c r="F10" s="8"/>
      <c r="G10" s="8"/>
      <c r="H10" s="8"/>
      <c r="I10" s="33"/>
      <c r="J10" s="8"/>
      <c r="K10" s="8"/>
      <c r="L10" s="8"/>
    </row>
    <row r="11" spans="1:12" x14ac:dyDescent="0.25">
      <c r="A11" s="12" t="str">
        <f>IF(B11="","",'Read Me'!$C$5)</f>
        <v/>
      </c>
      <c r="B11" s="8"/>
      <c r="C11" s="8"/>
      <c r="D11" s="8"/>
      <c r="E11" s="29"/>
      <c r="F11" s="8"/>
      <c r="G11" s="8"/>
      <c r="H11" s="8"/>
      <c r="I11" s="33"/>
      <c r="J11" s="8"/>
      <c r="K11" s="8"/>
      <c r="L11" s="8"/>
    </row>
    <row r="12" spans="1:12" x14ac:dyDescent="0.25">
      <c r="A12" s="12" t="str">
        <f>IF(B12="","",'Read Me'!$C$5)</f>
        <v/>
      </c>
      <c r="B12" s="8"/>
      <c r="C12" s="8"/>
      <c r="D12" s="8"/>
      <c r="E12" s="29"/>
      <c r="F12" s="8"/>
      <c r="G12" s="8"/>
      <c r="H12" s="8"/>
      <c r="I12" s="33"/>
      <c r="J12" s="8"/>
      <c r="K12" s="8"/>
      <c r="L12" s="8"/>
    </row>
    <row r="13" spans="1:12" x14ac:dyDescent="0.25">
      <c r="A13" s="12" t="str">
        <f>IF(B13="","",'Read Me'!$C$5)</f>
        <v/>
      </c>
      <c r="B13" s="8"/>
      <c r="C13" s="8"/>
      <c r="D13" s="8"/>
      <c r="E13" s="29"/>
      <c r="F13" s="8"/>
      <c r="G13" s="8"/>
      <c r="H13" s="8"/>
      <c r="I13" s="33"/>
      <c r="J13" s="8"/>
      <c r="K13" s="8"/>
      <c r="L13" s="8"/>
    </row>
    <row r="14" spans="1:12" x14ac:dyDescent="0.25">
      <c r="A14" s="12" t="str">
        <f>IF(B14="","",'Read Me'!$C$5)</f>
        <v/>
      </c>
      <c r="B14" s="8"/>
      <c r="C14" s="8"/>
      <c r="D14" s="8"/>
      <c r="E14" s="29"/>
      <c r="F14" s="8"/>
      <c r="G14" s="8"/>
      <c r="H14" s="8"/>
      <c r="I14" s="33"/>
      <c r="J14" s="8"/>
      <c r="K14" s="8"/>
      <c r="L14" s="8"/>
    </row>
    <row r="15" spans="1:12" x14ac:dyDescent="0.25">
      <c r="A15" s="12" t="str">
        <f>IF(B15="","",'Read Me'!$C$5)</f>
        <v/>
      </c>
      <c r="B15" s="8"/>
      <c r="C15" s="8"/>
      <c r="D15" s="8"/>
      <c r="E15" s="29"/>
      <c r="F15" s="8"/>
      <c r="G15" s="8"/>
      <c r="H15" s="8"/>
      <c r="I15" s="33"/>
      <c r="J15" s="8"/>
      <c r="K15" s="8"/>
      <c r="L15" s="8"/>
    </row>
    <row r="16" spans="1:12" x14ac:dyDescent="0.25">
      <c r="A16" s="12" t="str">
        <f>IF(B16="","",'Read Me'!$C$5)</f>
        <v/>
      </c>
      <c r="B16" s="8"/>
      <c r="C16" s="8"/>
      <c r="D16" s="8"/>
      <c r="E16" s="29"/>
      <c r="F16" s="8"/>
      <c r="G16" s="8"/>
      <c r="H16" s="8"/>
      <c r="I16" s="33"/>
      <c r="J16" s="8"/>
      <c r="K16" s="8"/>
      <c r="L16" s="8"/>
    </row>
    <row r="17" spans="1:12" x14ac:dyDescent="0.25">
      <c r="A17" s="12" t="str">
        <f>IF(B17="","",'Read Me'!$C$5)</f>
        <v/>
      </c>
      <c r="B17" s="8"/>
      <c r="C17" s="8"/>
      <c r="D17" s="8"/>
      <c r="E17" s="29"/>
      <c r="F17" s="8"/>
      <c r="G17" s="8"/>
      <c r="H17" s="8"/>
      <c r="I17" s="33"/>
      <c r="J17" s="8"/>
      <c r="K17" s="8"/>
      <c r="L17" s="8"/>
    </row>
    <row r="18" spans="1:12" x14ac:dyDescent="0.25">
      <c r="A18" s="12" t="str">
        <f>IF(B18="","",'Read Me'!$C$5)</f>
        <v/>
      </c>
      <c r="B18" s="8"/>
      <c r="C18" s="8"/>
      <c r="D18" s="8"/>
      <c r="E18" s="29"/>
      <c r="F18" s="8"/>
      <c r="G18" s="8"/>
      <c r="H18" s="8"/>
      <c r="I18" s="33"/>
      <c r="J18" s="8"/>
      <c r="K18" s="8"/>
      <c r="L18" s="8"/>
    </row>
    <row r="19" spans="1:12" x14ac:dyDescent="0.25">
      <c r="A19" s="12" t="str">
        <f>IF(B19="","",'Read Me'!$C$5)</f>
        <v/>
      </c>
      <c r="B19" s="8"/>
      <c r="C19" s="8"/>
      <c r="D19" s="8"/>
      <c r="E19" s="29"/>
      <c r="F19" s="8"/>
      <c r="G19" s="8"/>
      <c r="H19" s="8"/>
      <c r="I19" s="33"/>
      <c r="J19" s="8"/>
      <c r="K19" s="8"/>
      <c r="L19" s="8"/>
    </row>
    <row r="20" spans="1:12" x14ac:dyDescent="0.25">
      <c r="A20" s="12" t="str">
        <f>IF(B20="","",'Read Me'!$C$5)</f>
        <v/>
      </c>
      <c r="B20" s="8"/>
      <c r="C20" s="8"/>
      <c r="D20" s="8"/>
      <c r="E20" s="29"/>
      <c r="F20" s="8"/>
      <c r="G20" s="8"/>
      <c r="H20" s="8"/>
      <c r="I20" s="33"/>
      <c r="J20" s="8"/>
      <c r="K20" s="8"/>
      <c r="L20" s="8"/>
    </row>
    <row r="21" spans="1:12" x14ac:dyDescent="0.25">
      <c r="A21" s="12" t="str">
        <f>IF(B21="","",'Read Me'!$C$5)</f>
        <v/>
      </c>
      <c r="B21" s="8"/>
      <c r="C21" s="8"/>
      <c r="D21" s="8"/>
      <c r="E21" s="29"/>
      <c r="F21" s="8"/>
      <c r="G21" s="8"/>
      <c r="H21" s="8"/>
      <c r="I21" s="33"/>
      <c r="J21" s="8"/>
      <c r="K21" s="8"/>
      <c r="L21" s="8"/>
    </row>
    <row r="22" spans="1:12" x14ac:dyDescent="0.25">
      <c r="A22" s="12" t="str">
        <f>IF(B22="","",'Read Me'!$C$5)</f>
        <v/>
      </c>
      <c r="B22" s="8"/>
      <c r="C22" s="8"/>
      <c r="D22" s="8"/>
      <c r="E22" s="29"/>
      <c r="F22" s="8"/>
      <c r="G22" s="8"/>
      <c r="H22" s="8"/>
      <c r="I22" s="33"/>
      <c r="J22" s="8"/>
      <c r="K22" s="8"/>
      <c r="L22" s="8"/>
    </row>
    <row r="23" spans="1:12" x14ac:dyDescent="0.25">
      <c r="A23" s="12" t="str">
        <f>IF(B23="","",'Read Me'!$C$5)</f>
        <v/>
      </c>
      <c r="B23" s="8"/>
      <c r="C23" s="8"/>
      <c r="D23" s="8"/>
      <c r="E23" s="29"/>
      <c r="F23" s="8"/>
      <c r="G23" s="8"/>
      <c r="H23" s="8"/>
      <c r="I23" s="33"/>
      <c r="J23" s="8"/>
      <c r="K23" s="8"/>
      <c r="L23" s="8"/>
    </row>
    <row r="24" spans="1:12" x14ac:dyDescent="0.25">
      <c r="A24" s="12" t="str">
        <f>IF(B24="","",'Read Me'!$C$5)</f>
        <v/>
      </c>
      <c r="B24" s="8"/>
      <c r="C24" s="8"/>
      <c r="D24" s="8"/>
      <c r="E24" s="29"/>
      <c r="F24" s="8"/>
      <c r="G24" s="8"/>
      <c r="H24" s="8"/>
      <c r="I24" s="33"/>
      <c r="J24" s="8"/>
      <c r="K24" s="8"/>
      <c r="L24" s="8"/>
    </row>
    <row r="25" spans="1:12" x14ac:dyDescent="0.25">
      <c r="A25" s="12" t="str">
        <f>IF(B25="","",'Read Me'!$C$5)</f>
        <v/>
      </c>
      <c r="B25" s="8"/>
      <c r="C25" s="8"/>
      <c r="D25" s="8"/>
      <c r="E25" s="29"/>
      <c r="F25" s="8"/>
      <c r="G25" s="8"/>
      <c r="H25" s="8"/>
      <c r="I25" s="33"/>
      <c r="J25" s="8"/>
      <c r="K25" s="8"/>
      <c r="L25" s="8"/>
    </row>
    <row r="26" spans="1:12" x14ac:dyDescent="0.25">
      <c r="A26" s="12" t="str">
        <f>IF(B26="","",'Read Me'!$C$5)</f>
        <v/>
      </c>
      <c r="B26" s="8"/>
      <c r="C26" s="8"/>
      <c r="D26" s="8"/>
      <c r="E26" s="29"/>
      <c r="F26" s="8"/>
      <c r="G26" s="8"/>
      <c r="H26" s="8"/>
      <c r="I26" s="33"/>
      <c r="J26" s="8"/>
      <c r="K26" s="8"/>
      <c r="L26" s="8"/>
    </row>
    <row r="27" spans="1:12" x14ac:dyDescent="0.25">
      <c r="A27" s="12" t="str">
        <f>IF(B27="","",'Read Me'!$C$5)</f>
        <v/>
      </c>
      <c r="B27" s="8"/>
      <c r="C27" s="8"/>
      <c r="D27" s="8"/>
      <c r="E27" s="29"/>
      <c r="F27" s="8"/>
      <c r="G27" s="8"/>
      <c r="H27" s="8"/>
      <c r="I27" s="33"/>
      <c r="J27" s="8"/>
      <c r="K27" s="8"/>
      <c r="L27" s="8"/>
    </row>
    <row r="28" spans="1:12" x14ac:dyDescent="0.25">
      <c r="A28" s="12" t="str">
        <f>IF(B28="","",'Read Me'!$C$5)</f>
        <v/>
      </c>
      <c r="B28" s="8"/>
      <c r="C28" s="8"/>
      <c r="D28" s="8"/>
      <c r="E28" s="29"/>
      <c r="F28" s="8"/>
      <c r="G28" s="8"/>
      <c r="H28" s="8"/>
      <c r="I28" s="33"/>
      <c r="J28" s="8"/>
      <c r="K28" s="8"/>
      <c r="L28" s="8"/>
    </row>
    <row r="29" spans="1:12" x14ac:dyDescent="0.25">
      <c r="A29" s="12" t="str">
        <f>IF(B29="","",'Read Me'!$C$5)</f>
        <v/>
      </c>
      <c r="B29" s="8"/>
      <c r="C29" s="8"/>
      <c r="D29" s="8"/>
      <c r="E29" s="29"/>
      <c r="F29" s="8"/>
      <c r="G29" s="8"/>
      <c r="H29" s="8"/>
      <c r="I29" s="33"/>
      <c r="J29" s="8"/>
      <c r="K29" s="8"/>
      <c r="L29" s="8"/>
    </row>
    <row r="30" spans="1:12" x14ac:dyDescent="0.25">
      <c r="A30" s="12" t="str">
        <f>IF(B30="","",'Read Me'!$C$5)</f>
        <v/>
      </c>
      <c r="B30" s="8"/>
      <c r="C30" s="8"/>
      <c r="D30" s="8"/>
      <c r="E30" s="29"/>
      <c r="F30" s="8"/>
      <c r="G30" s="8"/>
      <c r="H30" s="8"/>
      <c r="I30" s="33"/>
      <c r="J30" s="8"/>
      <c r="K30" s="8"/>
      <c r="L30" s="8"/>
    </row>
    <row r="31" spans="1:12" x14ac:dyDescent="0.25">
      <c r="A31" s="12" t="str">
        <f>IF(B31="","",'Read Me'!$C$5)</f>
        <v/>
      </c>
      <c r="B31" s="8"/>
      <c r="C31" s="8"/>
      <c r="D31" s="8"/>
      <c r="E31" s="29"/>
      <c r="F31" s="8"/>
      <c r="G31" s="8"/>
      <c r="H31" s="8"/>
      <c r="I31" s="33"/>
      <c r="J31" s="8"/>
      <c r="K31" s="8"/>
      <c r="L31" s="8"/>
    </row>
    <row r="32" spans="1:12" x14ac:dyDescent="0.25">
      <c r="A32" s="12" t="str">
        <f>IF(B32="","",'Read Me'!$C$5)</f>
        <v/>
      </c>
      <c r="B32" s="8"/>
      <c r="C32" s="8"/>
      <c r="D32" s="8"/>
      <c r="E32" s="29"/>
      <c r="F32" s="8"/>
      <c r="G32" s="8"/>
      <c r="H32" s="8"/>
      <c r="I32" s="33"/>
      <c r="J32" s="8"/>
      <c r="K32" s="8"/>
      <c r="L32" s="8"/>
    </row>
    <row r="33" spans="1:12" x14ac:dyDescent="0.25">
      <c r="A33" s="12" t="str">
        <f>IF(B33="","",'Read Me'!$C$5)</f>
        <v/>
      </c>
      <c r="B33" s="8"/>
      <c r="C33" s="8"/>
      <c r="D33" s="8"/>
      <c r="E33" s="29"/>
      <c r="F33" s="8"/>
      <c r="G33" s="8"/>
      <c r="H33" s="8"/>
      <c r="I33" s="33"/>
      <c r="J33" s="8"/>
      <c r="K33" s="8"/>
      <c r="L33" s="8"/>
    </row>
    <row r="34" spans="1:12" x14ac:dyDescent="0.25">
      <c r="A34" s="12" t="str">
        <f>IF(B34="","",'Read Me'!$C$5)</f>
        <v/>
      </c>
      <c r="B34" s="8"/>
      <c r="C34" s="8"/>
      <c r="D34" s="8"/>
      <c r="E34" s="29"/>
      <c r="F34" s="8"/>
      <c r="G34" s="8"/>
      <c r="H34" s="8"/>
      <c r="I34" s="33"/>
      <c r="J34" s="8"/>
      <c r="K34" s="8"/>
      <c r="L34" s="8"/>
    </row>
    <row r="35" spans="1:12" x14ac:dyDescent="0.25">
      <c r="A35" s="12" t="str">
        <f>IF(B35="","",'Read Me'!$C$5)</f>
        <v/>
      </c>
      <c r="B35" s="8"/>
      <c r="C35" s="8"/>
      <c r="D35" s="8"/>
      <c r="E35" s="29"/>
      <c r="F35" s="8"/>
      <c r="G35" s="8"/>
      <c r="H35" s="8"/>
      <c r="I35" s="33"/>
      <c r="J35" s="8"/>
      <c r="K35" s="8"/>
      <c r="L35" s="8"/>
    </row>
    <row r="36" spans="1:12" x14ac:dyDescent="0.25">
      <c r="A36" s="12" t="str">
        <f>IF(B36="","",'Read Me'!$C$5)</f>
        <v/>
      </c>
      <c r="B36" s="8"/>
      <c r="C36" s="8"/>
      <c r="D36" s="8"/>
      <c r="E36" s="29"/>
      <c r="F36" s="8"/>
      <c r="G36" s="8"/>
      <c r="H36" s="8"/>
      <c r="I36" s="33"/>
      <c r="J36" s="8"/>
      <c r="K36" s="8"/>
      <c r="L36" s="8"/>
    </row>
    <row r="37" spans="1:12" x14ac:dyDescent="0.25">
      <c r="A37" s="12" t="str">
        <f>IF(B37="","",'Read Me'!$C$5)</f>
        <v/>
      </c>
      <c r="B37" s="8"/>
      <c r="C37" s="8"/>
      <c r="D37" s="8"/>
      <c r="E37" s="29"/>
      <c r="F37" s="8"/>
      <c r="G37" s="8"/>
      <c r="H37" s="8"/>
      <c r="I37" s="33"/>
      <c r="J37" s="8"/>
      <c r="K37" s="8"/>
      <c r="L37" s="8"/>
    </row>
    <row r="38" spans="1:12" x14ac:dyDescent="0.25">
      <c r="A38" s="12" t="str">
        <f>IF(B38="","",'Read Me'!$C$5)</f>
        <v/>
      </c>
      <c r="B38" s="8"/>
      <c r="C38" s="8"/>
      <c r="D38" s="8"/>
      <c r="E38" s="29"/>
      <c r="F38" s="8"/>
      <c r="G38" s="8"/>
      <c r="H38" s="8"/>
      <c r="I38" s="33"/>
      <c r="J38" s="8"/>
      <c r="K38" s="8"/>
      <c r="L38" s="8"/>
    </row>
    <row r="39" spans="1:12" x14ac:dyDescent="0.25">
      <c r="A39" s="12" t="str">
        <f>IF(B39="","",'Read Me'!$C$5)</f>
        <v/>
      </c>
      <c r="B39" s="8"/>
      <c r="C39" s="8"/>
      <c r="D39" s="8"/>
      <c r="E39" s="29"/>
      <c r="F39" s="8"/>
      <c r="G39" s="8"/>
      <c r="H39" s="8"/>
      <c r="I39" s="33"/>
      <c r="J39" s="8"/>
      <c r="K39" s="8"/>
      <c r="L39" s="8"/>
    </row>
    <row r="40" spans="1:12" x14ac:dyDescent="0.25">
      <c r="A40" s="12" t="str">
        <f>IF(B40="","",'Read Me'!$C$5)</f>
        <v/>
      </c>
      <c r="B40" s="8"/>
      <c r="C40" s="8"/>
      <c r="D40" s="8"/>
      <c r="E40" s="29"/>
      <c r="F40" s="8"/>
      <c r="G40" s="8"/>
      <c r="H40" s="8"/>
      <c r="I40" s="33"/>
      <c r="J40" s="8"/>
      <c r="K40" s="8"/>
      <c r="L40" s="8"/>
    </row>
    <row r="41" spans="1:12" x14ac:dyDescent="0.25">
      <c r="A41" s="12" t="str">
        <f>IF(B41="","",'Read Me'!$C$5)</f>
        <v/>
      </c>
      <c r="B41" s="8"/>
      <c r="C41" s="8"/>
      <c r="D41" s="8"/>
      <c r="E41" s="29"/>
      <c r="F41" s="8"/>
      <c r="G41" s="8"/>
      <c r="H41" s="8"/>
      <c r="I41" s="33"/>
      <c r="J41" s="8"/>
      <c r="K41" s="8"/>
      <c r="L41" s="8"/>
    </row>
    <row r="42" spans="1:12" x14ac:dyDescent="0.25">
      <c r="A42" s="12" t="str">
        <f>IF(B42="","",'Read Me'!$C$5)</f>
        <v/>
      </c>
      <c r="B42" s="8"/>
      <c r="C42" s="8"/>
      <c r="D42" s="8"/>
      <c r="E42" s="29"/>
      <c r="F42" s="8"/>
      <c r="G42" s="8"/>
      <c r="H42" s="8"/>
      <c r="I42" s="33"/>
      <c r="J42" s="8"/>
      <c r="K42" s="8"/>
      <c r="L42" s="8"/>
    </row>
    <row r="43" spans="1:12" x14ac:dyDescent="0.25">
      <c r="A43" s="12" t="str">
        <f>IF(B43="","",'Read Me'!$C$5)</f>
        <v/>
      </c>
      <c r="B43" s="8"/>
      <c r="C43" s="8"/>
      <c r="D43" s="8"/>
      <c r="E43" s="29"/>
      <c r="F43" s="8"/>
      <c r="G43" s="8"/>
      <c r="H43" s="8"/>
      <c r="I43" s="33"/>
      <c r="J43" s="8"/>
      <c r="K43" s="8"/>
      <c r="L43" s="8"/>
    </row>
    <row r="44" spans="1:12" x14ac:dyDescent="0.25">
      <c r="A44" s="12" t="str">
        <f>IF(B44="","",'Read Me'!$C$5)</f>
        <v/>
      </c>
      <c r="B44" s="8"/>
      <c r="C44" s="8"/>
      <c r="D44" s="8"/>
      <c r="E44" s="29"/>
      <c r="F44" s="8"/>
      <c r="G44" s="8"/>
      <c r="H44" s="8"/>
      <c r="I44" s="33"/>
      <c r="J44" s="8"/>
      <c r="K44" s="8"/>
      <c r="L44" s="8"/>
    </row>
    <row r="45" spans="1:12" x14ac:dyDescent="0.25">
      <c r="A45" s="12" t="str">
        <f>IF(B45="","",'Read Me'!$C$5)</f>
        <v/>
      </c>
      <c r="B45" s="8"/>
      <c r="C45" s="8"/>
      <c r="D45" s="8"/>
      <c r="E45" s="29"/>
      <c r="F45" s="8"/>
      <c r="G45" s="8"/>
      <c r="H45" s="8"/>
      <c r="I45" s="33"/>
      <c r="J45" s="8"/>
      <c r="K45" s="8"/>
      <c r="L45" s="8"/>
    </row>
  </sheetData>
  <autoFilter ref="A5:L45" xr:uid="{00000000-0009-0000-0000-000008000000}"/>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800-000000000000}">
          <x14:formula1>
            <xm:f>Lists!$B$2:$B$12</xm:f>
          </x14:formula1>
          <x14:formula2>
            <xm:f>0</xm:f>
          </x14:formula2>
          <xm:sqref>C6:C45</xm:sqref>
        </x14:dataValidation>
        <x14:dataValidation type="list" allowBlank="1" xr:uid="{00000000-0002-0000-0800-000001000000}">
          <x14:formula1>
            <xm:f>Lists!$D$2:$D$4</xm:f>
          </x14:formula1>
          <x14:formula2>
            <xm:f>0</xm:f>
          </x14:formula2>
          <xm:sqref>H6:H45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35"/>
  <sheetViews>
    <sheetView zoomScaleNormal="100" workbookViewId="0">
      <pane xSplit="2" ySplit="5" topLeftCell="C6" activePane="bottomRight" state="frozen"/>
      <selection pane="topRight" activeCell="C1" sqref="C1"/>
      <selection pane="bottomLeft" activeCell="A6" sqref="A6"/>
      <selection pane="bottomRight"/>
    </sheetView>
  </sheetViews>
  <sheetFormatPr defaultColWidth="8.7109375" defaultRowHeight="15" x14ac:dyDescent="0.25"/>
  <cols>
    <col min="1" max="1" width="16" customWidth="1"/>
    <col min="2" max="2" width="20" customWidth="1"/>
    <col min="3" max="3" width="30" customWidth="1"/>
    <col min="4" max="4" width="22" customWidth="1"/>
    <col min="5" max="5" width="11" customWidth="1"/>
    <col min="6" max="6" width="13" customWidth="1"/>
    <col min="7" max="7" width="15" customWidth="1"/>
    <col min="8" max="8" width="13" customWidth="1"/>
    <col min="9" max="9" width="44" customWidth="1"/>
    <col min="10" max="10" width="18" customWidth="1"/>
    <col min="11" max="11" width="22" customWidth="1"/>
    <col min="12" max="12" width="26" customWidth="1"/>
  </cols>
  <sheetData>
    <row r="1" spans="1:12" ht="18" x14ac:dyDescent="0.25">
      <c r="A1" s="18" t="s">
        <v>351</v>
      </c>
    </row>
    <row r="2" spans="1:12" x14ac:dyDescent="0.25">
      <c r="A2" s="19" t="s">
        <v>352</v>
      </c>
    </row>
    <row r="3" spans="1:12" x14ac:dyDescent="0.25">
      <c r="A3" s="20" t="str">
        <f>"District: "&amp;IF('Read Me'!$C$5="","(choose your district on the Read Me tab)",'Read Me'!$C$5)&amp;"   |   Yellow cells = enter data. Grey cells = calculated, do not edit."</f>
        <v>District: (choose your district on the Read Me tab)   |   Yellow cells = enter data. Grey cells = calculated, do not edit.</v>
      </c>
    </row>
    <row r="5" spans="1:12" ht="39.75" customHeight="1" x14ac:dyDescent="0.25">
      <c r="A5" s="21" t="s">
        <v>3</v>
      </c>
      <c r="B5" s="21" t="s">
        <v>353</v>
      </c>
      <c r="C5" s="21" t="s">
        <v>354</v>
      </c>
      <c r="D5" s="21" t="s">
        <v>355</v>
      </c>
      <c r="E5" s="21" t="s">
        <v>356</v>
      </c>
      <c r="F5" s="21" t="s">
        <v>357</v>
      </c>
      <c r="G5" s="21" t="s">
        <v>358</v>
      </c>
      <c r="H5" s="21" t="s">
        <v>359</v>
      </c>
      <c r="I5" s="21" t="s">
        <v>360</v>
      </c>
      <c r="J5" s="21" t="s">
        <v>361</v>
      </c>
      <c r="K5" s="21" t="s">
        <v>362</v>
      </c>
      <c r="L5" s="21" t="s">
        <v>24</v>
      </c>
    </row>
    <row r="6" spans="1:12" x14ac:dyDescent="0.25">
      <c r="A6" s="12" t="str">
        <f>IF(B6="","",'Read Me'!$C$5)</f>
        <v/>
      </c>
      <c r="B6" s="8"/>
      <c r="C6" s="8"/>
      <c r="D6" s="8"/>
      <c r="E6" s="9"/>
      <c r="F6" s="9"/>
      <c r="G6" s="33"/>
      <c r="H6" s="33"/>
      <c r="I6" s="8"/>
      <c r="J6" s="8"/>
      <c r="K6" s="8"/>
      <c r="L6" s="8"/>
    </row>
    <row r="7" spans="1:12" x14ac:dyDescent="0.25">
      <c r="A7" s="12" t="str">
        <f>IF(B7="","",'Read Me'!$C$5)</f>
        <v/>
      </c>
      <c r="B7" s="8"/>
      <c r="C7" s="8"/>
      <c r="D7" s="8"/>
      <c r="E7" s="9"/>
      <c r="F7" s="9"/>
      <c r="G7" s="33"/>
      <c r="H7" s="33"/>
      <c r="I7" s="8"/>
      <c r="J7" s="8"/>
      <c r="K7" s="8"/>
      <c r="L7" s="8"/>
    </row>
    <row r="8" spans="1:12" x14ac:dyDescent="0.25">
      <c r="A8" s="12" t="str">
        <f>IF(B8="","",'Read Me'!$C$5)</f>
        <v/>
      </c>
      <c r="B8" s="8"/>
      <c r="C8" s="8"/>
      <c r="D8" s="8"/>
      <c r="E8" s="9"/>
      <c r="F8" s="9"/>
      <c r="G8" s="33"/>
      <c r="H8" s="33"/>
      <c r="I8" s="8"/>
      <c r="J8" s="8"/>
      <c r="K8" s="8"/>
      <c r="L8" s="8"/>
    </row>
    <row r="9" spans="1:12" x14ac:dyDescent="0.25">
      <c r="A9" s="12" t="str">
        <f>IF(B9="","",'Read Me'!$C$5)</f>
        <v/>
      </c>
      <c r="B9" s="8"/>
      <c r="C9" s="8"/>
      <c r="D9" s="8"/>
      <c r="E9" s="9"/>
      <c r="F9" s="9"/>
      <c r="G9" s="33"/>
      <c r="H9" s="33"/>
      <c r="I9" s="8"/>
      <c r="J9" s="8"/>
      <c r="K9" s="8"/>
      <c r="L9" s="8"/>
    </row>
    <row r="10" spans="1:12" x14ac:dyDescent="0.25">
      <c r="A10" s="12" t="str">
        <f>IF(B10="","",'Read Me'!$C$5)</f>
        <v/>
      </c>
      <c r="B10" s="8"/>
      <c r="C10" s="8"/>
      <c r="D10" s="8"/>
      <c r="E10" s="9"/>
      <c r="F10" s="9"/>
      <c r="G10" s="33"/>
      <c r="H10" s="33"/>
      <c r="I10" s="8"/>
      <c r="J10" s="8"/>
      <c r="K10" s="8"/>
      <c r="L10" s="8"/>
    </row>
    <row r="11" spans="1:12" x14ac:dyDescent="0.25">
      <c r="A11" s="12" t="str">
        <f>IF(B11="","",'Read Me'!$C$5)</f>
        <v/>
      </c>
      <c r="B11" s="8"/>
      <c r="C11" s="8"/>
      <c r="D11" s="8"/>
      <c r="E11" s="9"/>
      <c r="F11" s="9"/>
      <c r="G11" s="33"/>
      <c r="H11" s="33"/>
      <c r="I11" s="8"/>
      <c r="J11" s="8"/>
      <c r="K11" s="8"/>
      <c r="L11" s="8"/>
    </row>
    <row r="12" spans="1:12" x14ac:dyDescent="0.25">
      <c r="A12" s="12" t="str">
        <f>IF(B12="","",'Read Me'!$C$5)</f>
        <v/>
      </c>
      <c r="B12" s="8"/>
      <c r="C12" s="8"/>
      <c r="D12" s="8"/>
      <c r="E12" s="9"/>
      <c r="F12" s="9"/>
      <c r="G12" s="33"/>
      <c r="H12" s="33"/>
      <c r="I12" s="8"/>
      <c r="J12" s="8"/>
      <c r="K12" s="8"/>
      <c r="L12" s="8"/>
    </row>
    <row r="13" spans="1:12" x14ac:dyDescent="0.25">
      <c r="A13" s="12" t="str">
        <f>IF(B13="","",'Read Me'!$C$5)</f>
        <v/>
      </c>
      <c r="B13" s="8"/>
      <c r="C13" s="8"/>
      <c r="D13" s="8"/>
      <c r="E13" s="9"/>
      <c r="F13" s="9"/>
      <c r="G13" s="33"/>
      <c r="H13" s="33"/>
      <c r="I13" s="8"/>
      <c r="J13" s="8"/>
      <c r="K13" s="8"/>
      <c r="L13" s="8"/>
    </row>
    <row r="14" spans="1:12" x14ac:dyDescent="0.25">
      <c r="A14" s="12" t="str">
        <f>IF(B14="","",'Read Me'!$C$5)</f>
        <v/>
      </c>
      <c r="B14" s="8"/>
      <c r="C14" s="8"/>
      <c r="D14" s="8"/>
      <c r="E14" s="9"/>
      <c r="F14" s="9"/>
      <c r="G14" s="33"/>
      <c r="H14" s="33"/>
      <c r="I14" s="8"/>
      <c r="J14" s="8"/>
      <c r="K14" s="8"/>
      <c r="L14" s="8"/>
    </row>
    <row r="15" spans="1:12" x14ac:dyDescent="0.25">
      <c r="A15" s="12" t="str">
        <f>IF(B15="","",'Read Me'!$C$5)</f>
        <v/>
      </c>
      <c r="B15" s="8"/>
      <c r="C15" s="8"/>
      <c r="D15" s="8"/>
      <c r="E15" s="9"/>
      <c r="F15" s="9"/>
      <c r="G15" s="33"/>
      <c r="H15" s="33"/>
      <c r="I15" s="8"/>
      <c r="J15" s="8"/>
      <c r="K15" s="8"/>
      <c r="L15" s="8"/>
    </row>
    <row r="16" spans="1:12" x14ac:dyDescent="0.25">
      <c r="A16" s="12" t="str">
        <f>IF(B16="","",'Read Me'!$C$5)</f>
        <v/>
      </c>
      <c r="B16" s="8"/>
      <c r="C16" s="8"/>
      <c r="D16" s="8"/>
      <c r="E16" s="9"/>
      <c r="F16" s="9"/>
      <c r="G16" s="33"/>
      <c r="H16" s="33"/>
      <c r="I16" s="8"/>
      <c r="J16" s="8"/>
      <c r="K16" s="8"/>
      <c r="L16" s="8"/>
    </row>
    <row r="17" spans="1:12" x14ac:dyDescent="0.25">
      <c r="A17" s="12" t="str">
        <f>IF(B17="","",'Read Me'!$C$5)</f>
        <v/>
      </c>
      <c r="B17" s="8"/>
      <c r="C17" s="8"/>
      <c r="D17" s="8"/>
      <c r="E17" s="9"/>
      <c r="F17" s="9"/>
      <c r="G17" s="33"/>
      <c r="H17" s="33"/>
      <c r="I17" s="8"/>
      <c r="J17" s="8"/>
      <c r="K17" s="8"/>
      <c r="L17" s="8"/>
    </row>
    <row r="18" spans="1:12" x14ac:dyDescent="0.25">
      <c r="A18" s="12" t="str">
        <f>IF(B18="","",'Read Me'!$C$5)</f>
        <v/>
      </c>
      <c r="B18" s="8"/>
      <c r="C18" s="8"/>
      <c r="D18" s="8"/>
      <c r="E18" s="9"/>
      <c r="F18" s="9"/>
      <c r="G18" s="33"/>
      <c r="H18" s="33"/>
      <c r="I18" s="8"/>
      <c r="J18" s="8"/>
      <c r="K18" s="8"/>
      <c r="L18" s="8"/>
    </row>
    <row r="19" spans="1:12" x14ac:dyDescent="0.25">
      <c r="A19" s="12" t="str">
        <f>IF(B19="","",'Read Me'!$C$5)</f>
        <v/>
      </c>
      <c r="B19" s="8"/>
      <c r="C19" s="8"/>
      <c r="D19" s="8"/>
      <c r="E19" s="9"/>
      <c r="F19" s="9"/>
      <c r="G19" s="33"/>
      <c r="H19" s="33"/>
      <c r="I19" s="8"/>
      <c r="J19" s="8"/>
      <c r="K19" s="8"/>
      <c r="L19" s="8"/>
    </row>
    <row r="20" spans="1:12" x14ac:dyDescent="0.25">
      <c r="A20" s="12" t="str">
        <f>IF(B20="","",'Read Me'!$C$5)</f>
        <v/>
      </c>
      <c r="B20" s="8"/>
      <c r="C20" s="8"/>
      <c r="D20" s="8"/>
      <c r="E20" s="9"/>
      <c r="F20" s="9"/>
      <c r="G20" s="33"/>
      <c r="H20" s="33"/>
      <c r="I20" s="8"/>
      <c r="J20" s="8"/>
      <c r="K20" s="8"/>
      <c r="L20" s="8"/>
    </row>
    <row r="21" spans="1:12" x14ac:dyDescent="0.25">
      <c r="A21" s="12" t="str">
        <f>IF(B21="","",'Read Me'!$C$5)</f>
        <v/>
      </c>
      <c r="B21" s="8"/>
      <c r="C21" s="8"/>
      <c r="D21" s="8"/>
      <c r="E21" s="9"/>
      <c r="F21" s="9"/>
      <c r="G21" s="33"/>
      <c r="H21" s="33"/>
      <c r="I21" s="8"/>
      <c r="J21" s="8"/>
      <c r="K21" s="8"/>
      <c r="L21" s="8"/>
    </row>
    <row r="22" spans="1:12" x14ac:dyDescent="0.25">
      <c r="A22" s="12" t="str">
        <f>IF(B22="","",'Read Me'!$C$5)</f>
        <v/>
      </c>
      <c r="B22" s="8"/>
      <c r="C22" s="8"/>
      <c r="D22" s="8"/>
      <c r="E22" s="9"/>
      <c r="F22" s="9"/>
      <c r="G22" s="33"/>
      <c r="H22" s="33"/>
      <c r="I22" s="8"/>
      <c r="J22" s="8"/>
      <c r="K22" s="8"/>
      <c r="L22" s="8"/>
    </row>
    <row r="23" spans="1:12" x14ac:dyDescent="0.25">
      <c r="A23" s="12" t="str">
        <f>IF(B23="","",'Read Me'!$C$5)</f>
        <v/>
      </c>
      <c r="B23" s="8"/>
      <c r="C23" s="8"/>
      <c r="D23" s="8"/>
      <c r="E23" s="9"/>
      <c r="F23" s="9"/>
      <c r="G23" s="33"/>
      <c r="H23" s="33"/>
      <c r="I23" s="8"/>
      <c r="J23" s="8"/>
      <c r="K23" s="8"/>
      <c r="L23" s="8"/>
    </row>
    <row r="24" spans="1:12" x14ac:dyDescent="0.25">
      <c r="A24" s="12" t="str">
        <f>IF(B24="","",'Read Me'!$C$5)</f>
        <v/>
      </c>
      <c r="B24" s="8"/>
      <c r="C24" s="8"/>
      <c r="D24" s="8"/>
      <c r="E24" s="9"/>
      <c r="F24" s="9"/>
      <c r="G24" s="33"/>
      <c r="H24" s="33"/>
      <c r="I24" s="8"/>
      <c r="J24" s="8"/>
      <c r="K24" s="8"/>
      <c r="L24" s="8"/>
    </row>
    <row r="25" spans="1:12" x14ac:dyDescent="0.25">
      <c r="A25" s="12" t="str">
        <f>IF(B25="","",'Read Me'!$C$5)</f>
        <v/>
      </c>
      <c r="B25" s="8"/>
      <c r="C25" s="8"/>
      <c r="D25" s="8"/>
      <c r="E25" s="9"/>
      <c r="F25" s="9"/>
      <c r="G25" s="33"/>
      <c r="H25" s="33"/>
      <c r="I25" s="8"/>
      <c r="J25" s="8"/>
      <c r="K25" s="8"/>
      <c r="L25" s="8"/>
    </row>
    <row r="26" spans="1:12" x14ac:dyDescent="0.25">
      <c r="A26" s="12" t="str">
        <f>IF(B26="","",'Read Me'!$C$5)</f>
        <v/>
      </c>
      <c r="B26" s="8"/>
      <c r="C26" s="8"/>
      <c r="D26" s="8"/>
      <c r="E26" s="9"/>
      <c r="F26" s="9"/>
      <c r="G26" s="33"/>
      <c r="H26" s="33"/>
      <c r="I26" s="8"/>
      <c r="J26" s="8"/>
      <c r="K26" s="8"/>
      <c r="L26" s="8"/>
    </row>
    <row r="27" spans="1:12" x14ac:dyDescent="0.25">
      <c r="A27" s="12" t="str">
        <f>IF(B27="","",'Read Me'!$C$5)</f>
        <v/>
      </c>
      <c r="B27" s="8"/>
      <c r="C27" s="8"/>
      <c r="D27" s="8"/>
      <c r="E27" s="9"/>
      <c r="F27" s="9"/>
      <c r="G27" s="33"/>
      <c r="H27" s="33"/>
      <c r="I27" s="8"/>
      <c r="J27" s="8"/>
      <c r="K27" s="8"/>
      <c r="L27" s="8"/>
    </row>
    <row r="28" spans="1:12" x14ac:dyDescent="0.25">
      <c r="A28" s="12" t="str">
        <f>IF(B28="","",'Read Me'!$C$5)</f>
        <v/>
      </c>
      <c r="B28" s="8"/>
      <c r="C28" s="8"/>
      <c r="D28" s="8"/>
      <c r="E28" s="9"/>
      <c r="F28" s="9"/>
      <c r="G28" s="33"/>
      <c r="H28" s="33"/>
      <c r="I28" s="8"/>
      <c r="J28" s="8"/>
      <c r="K28" s="8"/>
      <c r="L28" s="8"/>
    </row>
    <row r="29" spans="1:12" x14ac:dyDescent="0.25">
      <c r="A29" s="12" t="str">
        <f>IF(B29="","",'Read Me'!$C$5)</f>
        <v/>
      </c>
      <c r="B29" s="8"/>
      <c r="C29" s="8"/>
      <c r="D29" s="8"/>
      <c r="E29" s="9"/>
      <c r="F29" s="9"/>
      <c r="G29" s="33"/>
      <c r="H29" s="33"/>
      <c r="I29" s="8"/>
      <c r="J29" s="8"/>
      <c r="K29" s="8"/>
      <c r="L29" s="8"/>
    </row>
    <row r="30" spans="1:12" x14ac:dyDescent="0.25">
      <c r="A30" s="12" t="str">
        <f>IF(B30="","",'Read Me'!$C$5)</f>
        <v/>
      </c>
      <c r="B30" s="8"/>
      <c r="C30" s="8"/>
      <c r="D30" s="8"/>
      <c r="E30" s="9"/>
      <c r="F30" s="9"/>
      <c r="G30" s="33"/>
      <c r="H30" s="33"/>
      <c r="I30" s="8"/>
      <c r="J30" s="8"/>
      <c r="K30" s="8"/>
      <c r="L30" s="8"/>
    </row>
    <row r="31" spans="1:12" x14ac:dyDescent="0.25">
      <c r="A31" s="12" t="str">
        <f>IF(B31="","",'Read Me'!$C$5)</f>
        <v/>
      </c>
      <c r="B31" s="8"/>
      <c r="C31" s="8"/>
      <c r="D31" s="8"/>
      <c r="E31" s="9"/>
      <c r="F31" s="9"/>
      <c r="G31" s="33"/>
      <c r="H31" s="33"/>
      <c r="I31" s="8"/>
      <c r="J31" s="8"/>
      <c r="K31" s="8"/>
      <c r="L31" s="8"/>
    </row>
    <row r="32" spans="1:12" x14ac:dyDescent="0.25">
      <c r="A32" s="12" t="str">
        <f>IF(B32="","",'Read Me'!$C$5)</f>
        <v/>
      </c>
      <c r="B32" s="8"/>
      <c r="C32" s="8"/>
      <c r="D32" s="8"/>
      <c r="E32" s="9"/>
      <c r="F32" s="9"/>
      <c r="G32" s="33"/>
      <c r="H32" s="33"/>
      <c r="I32" s="8"/>
      <c r="J32" s="8"/>
      <c r="K32" s="8"/>
      <c r="L32" s="8"/>
    </row>
    <row r="33" spans="1:12" x14ac:dyDescent="0.25">
      <c r="A33" s="12" t="str">
        <f>IF(B33="","",'Read Me'!$C$5)</f>
        <v/>
      </c>
      <c r="B33" s="8"/>
      <c r="C33" s="8"/>
      <c r="D33" s="8"/>
      <c r="E33" s="9"/>
      <c r="F33" s="9"/>
      <c r="G33" s="33"/>
      <c r="H33" s="33"/>
      <c r="I33" s="8"/>
      <c r="J33" s="8"/>
      <c r="K33" s="8"/>
      <c r="L33" s="8"/>
    </row>
    <row r="34" spans="1:12" x14ac:dyDescent="0.25">
      <c r="A34" s="12" t="str">
        <f>IF(B34="","",'Read Me'!$C$5)</f>
        <v/>
      </c>
      <c r="B34" s="8"/>
      <c r="C34" s="8"/>
      <c r="D34" s="8"/>
      <c r="E34" s="9"/>
      <c r="F34" s="9"/>
      <c r="G34" s="33"/>
      <c r="H34" s="33"/>
      <c r="I34" s="8"/>
      <c r="J34" s="8"/>
      <c r="K34" s="8"/>
      <c r="L34" s="8"/>
    </row>
    <row r="35" spans="1:12" x14ac:dyDescent="0.25">
      <c r="A35" s="12" t="str">
        <f>IF(B35="","",'Read Me'!$C$5)</f>
        <v/>
      </c>
      <c r="B35" s="8"/>
      <c r="C35" s="8"/>
      <c r="D35" s="8"/>
      <c r="E35" s="9"/>
      <c r="F35" s="9"/>
      <c r="G35" s="33"/>
      <c r="H35" s="33"/>
      <c r="I35" s="8"/>
      <c r="J35" s="8"/>
      <c r="K35" s="8"/>
      <c r="L35" s="8"/>
    </row>
  </sheetData>
  <autoFilter ref="A5:L35" xr:uid="{00000000-0009-0000-0000-000009000000}"/>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xr:uid="{00000000-0002-0000-0900-000000000000}">
          <x14:formula1>
            <xm:f>Lists!$F$2:$F$8</xm:f>
          </x14:formula1>
          <x14:formula2>
            <xm:f>0</xm:f>
          </x14:formula2>
          <xm:sqref>B6:B35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
  <sheetViews>
    <sheetView zoomScaleNormal="100" workbookViewId="0"/>
  </sheetViews>
  <sheetFormatPr defaultColWidth="8.7109375" defaultRowHeight="15" x14ac:dyDescent="0.25"/>
  <sheetData>
    <row r="1" spans="1:6" x14ac:dyDescent="0.25">
      <c r="A1" t="s">
        <v>40</v>
      </c>
      <c r="B1" t="s">
        <v>363</v>
      </c>
      <c r="C1" t="s">
        <v>3</v>
      </c>
      <c r="D1" t="s">
        <v>364</v>
      </c>
      <c r="E1" t="s">
        <v>365</v>
      </c>
      <c r="F1" t="s">
        <v>366</v>
      </c>
    </row>
    <row r="2" spans="1:6" x14ac:dyDescent="0.25">
      <c r="A2" t="s">
        <v>48</v>
      </c>
      <c r="B2" t="s">
        <v>367</v>
      </c>
      <c r="C2" t="s">
        <v>368</v>
      </c>
      <c r="D2" t="s">
        <v>369</v>
      </c>
      <c r="E2" t="s">
        <v>370</v>
      </c>
      <c r="F2" t="s">
        <v>371</v>
      </c>
    </row>
    <row r="3" spans="1:6" x14ac:dyDescent="0.25">
      <c r="A3" t="s">
        <v>372</v>
      </c>
      <c r="B3" t="s">
        <v>373</v>
      </c>
      <c r="C3" t="s">
        <v>374</v>
      </c>
      <c r="D3" t="s">
        <v>375</v>
      </c>
      <c r="E3" t="s">
        <v>376</v>
      </c>
      <c r="F3" t="s">
        <v>377</v>
      </c>
    </row>
    <row r="4" spans="1:6" x14ac:dyDescent="0.25">
      <c r="A4" t="s">
        <v>378</v>
      </c>
      <c r="B4" t="s">
        <v>379</v>
      </c>
      <c r="C4" t="s">
        <v>380</v>
      </c>
      <c r="D4" t="s">
        <v>381</v>
      </c>
      <c r="E4" t="s">
        <v>382</v>
      </c>
      <c r="F4" t="s">
        <v>383</v>
      </c>
    </row>
    <row r="5" spans="1:6" x14ac:dyDescent="0.25">
      <c r="A5" t="s">
        <v>384</v>
      </c>
      <c r="B5" t="s">
        <v>385</v>
      </c>
      <c r="E5" t="s">
        <v>386</v>
      </c>
      <c r="F5" t="s">
        <v>387</v>
      </c>
    </row>
    <row r="6" spans="1:6" x14ac:dyDescent="0.25">
      <c r="B6" t="s">
        <v>388</v>
      </c>
      <c r="F6" t="s">
        <v>389</v>
      </c>
    </row>
    <row r="7" spans="1:6" x14ac:dyDescent="0.25">
      <c r="B7" t="s">
        <v>390</v>
      </c>
      <c r="F7" t="s">
        <v>391</v>
      </c>
    </row>
    <row r="8" spans="1:6" x14ac:dyDescent="0.25">
      <c r="B8" t="s">
        <v>392</v>
      </c>
      <c r="F8" t="s">
        <v>393</v>
      </c>
    </row>
    <row r="9" spans="1:6" x14ac:dyDescent="0.25">
      <c r="B9" t="s">
        <v>394</v>
      </c>
    </row>
    <row r="10" spans="1:6" x14ac:dyDescent="0.25">
      <c r="B10" t="s">
        <v>395</v>
      </c>
    </row>
    <row r="11" spans="1:6" x14ac:dyDescent="0.25">
      <c r="B11" t="s">
        <v>396</v>
      </c>
    </row>
    <row r="12" spans="1:6" x14ac:dyDescent="0.25">
      <c r="B12" t="s">
        <v>393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Read Me</vt:lpstr>
      <vt:lpstr>Data Inventory</vt:lpstr>
      <vt:lpstr>1 Enrollment</vt:lpstr>
      <vt:lpstr>2 Outcomes</vt:lpstr>
      <vt:lpstr>3 Finance</vt:lpstr>
      <vt:lpstr>4 Staffing</vt:lpstr>
      <vt:lpstr>5 Transportation</vt:lpstr>
      <vt:lpstr>6 Facilities</vt:lpstr>
      <vt:lpstr>7 Programs &amp; Supports</vt:lpstr>
      <vt:lpstr>8 Contracts, Debt &amp; Property</vt:lpstr>
      <vt:lpstr>Lists</vt:lpstr>
      <vt:lpstr>'1 Enrollment'!Print_Titles</vt:lpstr>
      <vt:lpstr>'2 Outcomes'!Print_Titles</vt:lpstr>
      <vt:lpstr>'3 Finance'!Print_Titles</vt:lpstr>
      <vt:lpstr>'4 Staffing'!Print_Titles</vt:lpstr>
      <vt:lpstr>'5 Transportation'!Print_Titles</vt:lpstr>
      <vt:lpstr>'6 Facilities'!Print_Titles</vt:lpstr>
      <vt:lpstr>'7 Programs &amp; Supports'!Print_Titles</vt:lpstr>
      <vt:lpstr>'8 Contracts, Debt &amp; Property'!Print_Titles</vt:lpstr>
      <vt:lpstr>'Data Inventory'!Print_Titles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Mace, Nicole L.</cp:lastModifiedBy>
  <cp:revision>0</cp:revision>
  <dcterms:created xsi:type="dcterms:W3CDTF">2026-10-28T17:59:52Z</dcterms:created>
  <dcterms:modified xsi:type="dcterms:W3CDTF">2026-10-28T18:03:54Z</dcterms:modified>
  <dc:language>en-US</dc:language>
</cp:coreProperties>
</file>